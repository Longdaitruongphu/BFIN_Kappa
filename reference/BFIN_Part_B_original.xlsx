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nd_Assumptions" sheetId="1" r:id="rId5"/>
    <sheet state="visible" name="Bond Sheet" sheetId="2" r:id="rId6"/>
    <sheet state="visible" name="Rate Note" sheetId="3" r:id="rId7"/>
  </sheets>
  <definedNames/>
  <calcPr/>
</workbook>
</file>

<file path=xl/sharedStrings.xml><?xml version="1.0" encoding="utf-8"?>
<sst xmlns="http://schemas.openxmlformats.org/spreadsheetml/2006/main" count="65" uniqueCount="51">
  <si>
    <t>Cash-flow verification table</t>
  </si>
  <si>
    <r>
      <rPr>
        <rFont val="Arial"/>
        <b/>
        <color theme="1"/>
      </rPr>
      <t>Absolute Immunization through Duration Matching:</t>
    </r>
    <r>
      <rPr>
        <rFont val="Arial"/>
        <color theme="1"/>
      </rPr>
      <t xml:space="preserve"> The Macaulay Duration of the Beta Zero-Coupon is exactly 2 years. This matches the 2024 scholarship obligation perfectly. Therefore, our portfolio gets absolute immunization, and we have enough cash on the payment date.</t>
    </r>
  </si>
  <si>
    <t>Date</t>
  </si>
  <si>
    <t>Year (T)</t>
  </si>
  <si>
    <t>Outflows</t>
  </si>
  <si>
    <t>Beta Inflow</t>
  </si>
  <si>
    <t xml:space="preserve">Delta Inflow </t>
  </si>
  <si>
    <t>Net Cash</t>
  </si>
  <si>
    <t>31/12/2022</t>
  </si>
  <si>
    <r>
      <rPr>
        <rFont val="Arial"/>
        <b/>
        <color theme="1"/>
      </rPr>
      <t>Elimination of Price and Curve Risks:</t>
    </r>
    <r>
      <rPr>
        <rFont val="Arial"/>
        <color theme="1"/>
      </rPr>
      <t xml:space="preserve"> Our team uses a strict buy-and-hold strategy until maturity. We will not sell the bonds early on the market. Therefore, price volatility or parallel rate shocks will have no impact on our cash. The core capital is completely safe.</t>
    </r>
  </si>
  <si>
    <r>
      <rPr>
        <rFont val="Arial"/>
        <b/>
        <color theme="1"/>
      </rPr>
      <t>Mitigation of Reinvestment Risk:</t>
    </r>
    <r>
      <rPr>
        <rFont val="Arial"/>
        <color theme="1"/>
      </rPr>
      <t xml:space="preserve"> The Delta bond pays annual coupon inflows from Year 1 to Year 4 of USD 121,739.13 per year. We will automatically transfer this money into the Growth Portfolio to reinvest. This rule removes idle cash drag and eliminates reinvestment risk.</t>
    </r>
  </si>
  <si>
    <t>Liability - Matching Fixed - Income Portfolio</t>
  </si>
  <si>
    <t>Kappa Foundation case as of 31 December 2022</t>
  </si>
  <si>
    <t>Label</t>
  </si>
  <si>
    <t>Value</t>
  </si>
  <si>
    <t>Unit</t>
  </si>
  <si>
    <t>Source / Note</t>
  </si>
  <si>
    <t xml:space="preserve">Initial Fund </t>
  </si>
  <si>
    <t>31/12/2023</t>
  </si>
  <si>
    <t>USD</t>
  </si>
  <si>
    <t>Case Mandate (Page 1)</t>
  </si>
  <si>
    <t>Scholarship Programme Due Date</t>
  </si>
  <si>
    <t>31/12/2024</t>
  </si>
  <si>
    <t>Legal obligation date</t>
  </si>
  <si>
    <t>Scholarship Programme Due Amount</t>
  </si>
  <si>
    <t>Norminal Liability (Page 1)</t>
  </si>
  <si>
    <t>Beta Bond Price per $1,000 Face</t>
  </si>
  <si>
    <t>Exhibit 1 (Page 2)</t>
  </si>
  <si>
    <t>Beta Bond Coupon</t>
  </si>
  <si>
    <t>%</t>
  </si>
  <si>
    <t>Zero-coupon coupon rate</t>
  </si>
  <si>
    <t>Learning Centre Due Date</t>
  </si>
  <si>
    <t>31/12/2027</t>
  </si>
  <si>
    <t>Learning Centre Due Amount</t>
  </si>
  <si>
    <t>Delta Bond Price per $1,000 Face</t>
  </si>
  <si>
    <t>Delta Bond Coupon</t>
  </si>
  <si>
    <t>Annual coupon rate</t>
  </si>
  <si>
    <t>31/12/2025</t>
  </si>
  <si>
    <t>Projection Horizon (Years)</t>
  </si>
  <si>
    <t>Years</t>
  </si>
  <si>
    <t>Verification table years 0-5</t>
  </si>
  <si>
    <t>Funding check</t>
  </si>
  <si>
    <t>31/12/2026</t>
  </si>
  <si>
    <t>Bond sizing and capital allocation</t>
  </si>
  <si>
    <t>Scholarship bond quantity</t>
  </si>
  <si>
    <t>Scholarship bond initial cost</t>
  </si>
  <si>
    <t>verified-Minh</t>
  </si>
  <si>
    <t>Learning Centre bond quantity</t>
  </si>
  <si>
    <t>Learning Centre bond initial cost</t>
  </si>
  <si>
    <t>Total bond cost</t>
  </si>
  <si>
    <t>Remaining growth capital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</si>
</sst>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quot;$&quot;#,##0.00"/>
    <numFmt numFmtId="166" formatCode="&quot;$&quot;#,##0"/>
    <numFmt numFmtId="167" formatCode="0.0%"/>
  </numFmts>
  <fonts count="6">
    <font>
      <sz val="10.0"/>
      <color rgb="FF000000"/>
      <name val="Arial"/>
      <scheme val="minor"/>
    </font>
    <font>
      <sz val="11.0"/>
      <color rgb="FFFFFFFF"/>
      <name val="Arial"/>
      <scheme val="minor"/>
    </font>
    <font>
      <color theme="1"/>
      <name val="Arial"/>
      <scheme val="minor"/>
    </font>
    <font>
      <b/>
      <color theme="1"/>
      <name val="Arial"/>
      <scheme val="minor"/>
    </font>
    <font>
      <b/>
      <sz val="13.0"/>
      <color theme="1"/>
      <name val="Arial"/>
      <scheme val="minor"/>
    </font>
    <font>
      <color rgb="FFFFFFFF"/>
      <name val="Arial"/>
      <scheme val="minor"/>
    </font>
  </fonts>
  <fills count="5">
    <fill>
      <patternFill patternType="none"/>
    </fill>
    <fill>
      <patternFill patternType="lightGray"/>
    </fill>
    <fill>
      <patternFill patternType="solid">
        <fgColor rgb="FF073763"/>
        <bgColor rgb="FF073763"/>
      </patternFill>
    </fill>
    <fill>
      <patternFill patternType="solid">
        <fgColor rgb="FFD9D9D9"/>
        <bgColor rgb="FFD9D9D9"/>
      </patternFill>
    </fill>
    <fill>
      <patternFill patternType="solid">
        <fgColor rgb="FFF3F3F3"/>
        <bgColor rgb="FFF3F3F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double">
        <color rgb="FF000000"/>
      </top>
    </border>
    <border>
      <left style="thin">
        <color rgb="FF000000"/>
      </left>
      <right style="thin">
        <color rgb="FF000000"/>
      </right>
      <top style="double">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xf>
    <xf borderId="0" fillId="4" fontId="2" numFmtId="0" xfId="0" applyAlignment="1" applyFill="1" applyFont="1">
      <alignment horizontal="left" readingOrder="0" shrinkToFit="0" vertical="center" wrapText="1"/>
    </xf>
    <xf borderId="1" fillId="3" fontId="3" numFmtId="0" xfId="0" applyAlignment="1" applyBorder="1" applyFill="1" applyFont="1">
      <alignment horizontal="center" readingOrder="0"/>
    </xf>
    <xf borderId="0" fillId="0" fontId="2" numFmtId="0" xfId="0" applyAlignment="1" applyFont="1">
      <alignment horizontal="left"/>
    </xf>
    <xf borderId="1" fillId="0" fontId="3" numFmtId="164" xfId="0" applyAlignment="1" applyBorder="1" applyFont="1" applyNumberFormat="1">
      <alignment horizontal="center" readingOrder="0"/>
    </xf>
    <xf borderId="1" fillId="0" fontId="2" numFmtId="0" xfId="0" applyAlignment="1" applyBorder="1" applyFont="1">
      <alignment horizontal="center" readingOrder="0"/>
    </xf>
    <xf borderId="1" fillId="0" fontId="2" numFmtId="165" xfId="0" applyAlignment="1" applyBorder="1" applyFont="1" applyNumberFormat="1">
      <alignment horizontal="center" readingOrder="0"/>
    </xf>
    <xf borderId="0" fillId="0" fontId="4" numFmtId="0" xfId="0" applyAlignment="1" applyFont="1">
      <alignment readingOrder="0"/>
    </xf>
    <xf borderId="0" fillId="0" fontId="2" numFmtId="0" xfId="0" applyAlignment="1" applyFont="1">
      <alignment horizontal="left" readingOrder="0" shrinkToFit="0" vertical="center" wrapText="0"/>
    </xf>
    <xf borderId="0" fillId="0" fontId="2" numFmtId="166" xfId="0" applyAlignment="1" applyFont="1" applyNumberFormat="1">
      <alignment horizontal="left" readingOrder="0" shrinkToFit="0" vertical="center" wrapText="0"/>
    </xf>
    <xf borderId="0" fillId="0" fontId="2" numFmtId="164" xfId="0" applyAlignment="1" applyFont="1" applyNumberFormat="1">
      <alignment horizontal="left" readingOrder="0" shrinkToFit="0" vertical="center" wrapText="0"/>
    </xf>
    <xf borderId="1" fillId="0" fontId="2" numFmtId="165" xfId="0" applyAlignment="1" applyBorder="1" applyFont="1" applyNumberFormat="1">
      <alignment horizontal="center"/>
    </xf>
    <xf borderId="0" fillId="0" fontId="2" numFmtId="10" xfId="0" applyAlignment="1" applyFont="1" applyNumberFormat="1">
      <alignment horizontal="left" readingOrder="0" shrinkToFit="0" vertical="center" wrapText="0"/>
    </xf>
    <xf borderId="0" fillId="0" fontId="2" numFmtId="167" xfId="0" applyAlignment="1" applyFont="1" applyNumberFormat="1">
      <alignment horizontal="left" readingOrder="0" shrinkToFit="0" vertical="center" wrapText="0"/>
    </xf>
    <xf borderId="0" fillId="0" fontId="2" numFmtId="0" xfId="0" applyAlignment="1" applyFont="1">
      <alignment readingOrder="0"/>
    </xf>
    <xf borderId="0" fillId="2" fontId="5" numFmtId="0" xfId="0" applyAlignment="1" applyFill="1" applyFont="1">
      <alignment readingOrder="0"/>
    </xf>
    <xf borderId="1" fillId="0" fontId="2" numFmtId="0" xfId="0" applyAlignment="1" applyBorder="1" applyFont="1">
      <alignment readingOrder="0"/>
    </xf>
    <xf borderId="1" fillId="0" fontId="2" numFmtId="4" xfId="0" applyBorder="1" applyFont="1" applyNumberFormat="1"/>
    <xf borderId="1" fillId="0" fontId="2" numFmtId="165" xfId="0" applyBorder="1" applyFont="1" applyNumberFormat="1"/>
    <xf borderId="1" fillId="0" fontId="3" numFmtId="165" xfId="0" applyAlignment="1" applyBorder="1" applyFont="1" applyNumberFormat="1">
      <alignment horizontal="center"/>
    </xf>
    <xf borderId="2" fillId="0" fontId="2" numFmtId="0" xfId="0" applyAlignment="1" applyBorder="1" applyFont="1">
      <alignment readingOrder="0"/>
    </xf>
    <xf borderId="2" fillId="0" fontId="2" numFmtId="165" xfId="0" applyBorder="1" applyFont="1" applyNumberFormat="1"/>
    <xf borderId="3" fillId="0" fontId="3" numFmtId="0" xfId="0" applyAlignment="1" applyBorder="1" applyFont="1">
      <alignment readingOrder="0"/>
    </xf>
    <xf borderId="3" fillId="0" fontId="3" numFmtId="165" xfId="0" applyBorder="1" applyFont="1" applyNumberFormat="1"/>
    <xf borderId="4" fillId="0" fontId="3" numFmtId="0" xfId="0" applyAlignment="1" applyBorder="1" applyFont="1">
      <alignment readingOrder="0"/>
    </xf>
    <xf borderId="4" fillId="0" fontId="3" numFmtId="165" xfId="0" applyBorder="1" applyFont="1" applyNumberFormat="1"/>
  </cellXfs>
  <cellStyles count="1">
    <cellStyle xfId="0" name="Normal" builtinId="0"/>
  </cellStyles>
  <dxfs count="4">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border>
        <left style="thin">
          <color rgb="FF373F6B"/>
        </left>
        <right style="thin">
          <color rgb="FF373F6B"/>
        </right>
        <top style="thin">
          <color rgb="FF373F6B"/>
        </top>
        <bottom style="thin">
          <color rgb="FF373F6B"/>
        </bottom>
      </border>
    </dxf>
  </dxfs>
  <tableStyles count="1">
    <tableStyle count="4" pivot="0" name="Bond_Assumptions-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D14" displayName="Inputs_and_Case_Assumptions" name="Inputs_and_Case_Assumptions" id="1">
  <tableColumns count="4">
    <tableColumn name="Label" id="1"/>
    <tableColumn name="Value" id="2"/>
    <tableColumn name="Unit" id="3"/>
    <tableColumn name="Source / Note" id="4"/>
  </tableColumns>
  <tableStyleInfo name="Bond_Assump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4" max="4" width="21.88"/>
  </cols>
  <sheetData>
    <row r="1">
      <c r="A1" s="8" t="s">
        <v>11</v>
      </c>
    </row>
    <row r="2">
      <c r="A2" s="8" t="s">
        <v>12</v>
      </c>
    </row>
    <row r="4" ht="22.5" customHeight="1">
      <c r="A4" s="9" t="s">
        <v>13</v>
      </c>
      <c r="B4" s="9" t="s">
        <v>14</v>
      </c>
      <c r="C4" s="9" t="s">
        <v>15</v>
      </c>
      <c r="D4" s="9" t="s">
        <v>16</v>
      </c>
    </row>
    <row r="5" ht="22.5" customHeight="1">
      <c r="A5" s="9" t="s">
        <v>17</v>
      </c>
      <c r="B5" s="10">
        <v>1.2E7</v>
      </c>
      <c r="C5" s="9" t="s">
        <v>19</v>
      </c>
      <c r="D5" s="9" t="s">
        <v>20</v>
      </c>
    </row>
    <row r="6" ht="22.5" customHeight="1">
      <c r="A6" s="9" t="s">
        <v>21</v>
      </c>
      <c r="B6" s="11" t="s">
        <v>22</v>
      </c>
      <c r="C6" s="9" t="s">
        <v>2</v>
      </c>
      <c r="D6" s="9" t="s">
        <v>23</v>
      </c>
    </row>
    <row r="7" ht="22.5" customHeight="1">
      <c r="A7" s="9" t="s">
        <v>24</v>
      </c>
      <c r="B7" s="10">
        <v>2400000.0</v>
      </c>
      <c r="C7" s="9" t="s">
        <v>19</v>
      </c>
      <c r="D7" s="9" t="s">
        <v>25</v>
      </c>
    </row>
    <row r="8" ht="22.5" customHeight="1">
      <c r="A8" s="9" t="s">
        <v>26</v>
      </c>
      <c r="B8" s="9">
        <v>922.78</v>
      </c>
      <c r="C8" s="9" t="s">
        <v>19</v>
      </c>
      <c r="D8" s="9" t="s">
        <v>27</v>
      </c>
    </row>
    <row r="9" ht="22.5" customHeight="1">
      <c r="A9" s="9" t="s">
        <v>28</v>
      </c>
      <c r="B9" s="13">
        <v>0.0</v>
      </c>
      <c r="C9" s="9" t="s">
        <v>29</v>
      </c>
      <c r="D9" s="9" t="s">
        <v>30</v>
      </c>
    </row>
    <row r="10" ht="22.5" customHeight="1">
      <c r="A10" s="9" t="s">
        <v>31</v>
      </c>
      <c r="B10" s="11" t="s">
        <v>32</v>
      </c>
      <c r="C10" s="9" t="s">
        <v>2</v>
      </c>
      <c r="D10" s="9" t="s">
        <v>23</v>
      </c>
    </row>
    <row r="11" ht="22.5" customHeight="1">
      <c r="A11" s="9" t="s">
        <v>33</v>
      </c>
      <c r="B11" s="10">
        <v>3600000.0</v>
      </c>
      <c r="C11" s="9" t="s">
        <v>19</v>
      </c>
      <c r="D11" s="9" t="s">
        <v>25</v>
      </c>
    </row>
    <row r="12" ht="22.5" customHeight="1">
      <c r="A12" s="9" t="s">
        <v>34</v>
      </c>
      <c r="B12" s="9">
        <v>986.07</v>
      </c>
      <c r="C12" s="9" t="s">
        <v>19</v>
      </c>
      <c r="D12" s="9" t="s">
        <v>27</v>
      </c>
    </row>
    <row r="13" ht="22.5" customHeight="1">
      <c r="A13" s="9" t="s">
        <v>35</v>
      </c>
      <c r="B13" s="14">
        <v>0.035</v>
      </c>
      <c r="C13" s="9" t="s">
        <v>29</v>
      </c>
      <c r="D13" s="9" t="s">
        <v>36</v>
      </c>
    </row>
    <row r="14" ht="22.5" customHeight="1">
      <c r="A14" s="9" t="s">
        <v>38</v>
      </c>
      <c r="B14" s="9">
        <v>5.0</v>
      </c>
      <c r="C14" s="9" t="s">
        <v>39</v>
      </c>
      <c r="D14" s="9" t="s">
        <v>40</v>
      </c>
    </row>
    <row r="16">
      <c r="A16" s="15" t="s">
        <v>41</v>
      </c>
    </row>
    <row r="17">
      <c r="A17" s="16" t="s">
        <v>43</v>
      </c>
    </row>
    <row r="18">
      <c r="A18" s="17" t="s">
        <v>44</v>
      </c>
      <c r="B18" s="18">
        <f>(B7/1000)</f>
        <v>2400</v>
      </c>
    </row>
    <row r="19">
      <c r="A19" s="17" t="s">
        <v>45</v>
      </c>
      <c r="B19" s="19">
        <f>B18*B8</f>
        <v>2214672</v>
      </c>
      <c r="C19" s="15" t="s">
        <v>46</v>
      </c>
    </row>
    <row r="20">
      <c r="A20" s="17" t="s">
        <v>47</v>
      </c>
      <c r="B20" s="18">
        <f>(B11/(1000*(1+B13)))</f>
        <v>3478.26087</v>
      </c>
    </row>
    <row r="21">
      <c r="A21" s="21" t="s">
        <v>48</v>
      </c>
      <c r="B21" s="22">
        <f>B20*B12</f>
        <v>3429808.696</v>
      </c>
      <c r="C21" s="15" t="s">
        <v>46</v>
      </c>
    </row>
    <row r="22">
      <c r="A22" s="23" t="s">
        <v>49</v>
      </c>
      <c r="B22" s="24">
        <f>B19+B21</f>
        <v>5644480.696</v>
      </c>
    </row>
    <row r="23">
      <c r="A23" s="25" t="s">
        <v>50</v>
      </c>
      <c r="B23" s="26">
        <f>B5-B22</f>
        <v>6355519.304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row>
    <row r="3">
      <c r="A3" s="3" t="s">
        <v>2</v>
      </c>
      <c r="B3" s="3" t="s">
        <v>3</v>
      </c>
      <c r="C3" s="3" t="s">
        <v>4</v>
      </c>
      <c r="D3" s="3" t="s">
        <v>5</v>
      </c>
      <c r="E3" s="3" t="s">
        <v>6</v>
      </c>
      <c r="F3" s="3" t="s">
        <v>7</v>
      </c>
    </row>
    <row r="4">
      <c r="A4" s="5" t="s">
        <v>8</v>
      </c>
      <c r="B4" s="6">
        <v>0.0</v>
      </c>
      <c r="C4" s="7">
        <v>0.0</v>
      </c>
      <c r="D4" s="7">
        <v>0.0</v>
      </c>
      <c r="E4" s="7">
        <v>0.0</v>
      </c>
      <c r="F4" s="7">
        <f>-Bond_Assumptions!B22</f>
        <v>-5644480.696</v>
      </c>
    </row>
    <row r="5">
      <c r="A5" s="5" t="s">
        <v>18</v>
      </c>
      <c r="B5" s="6">
        <v>1.0</v>
      </c>
      <c r="C5" s="7">
        <v>0.0</v>
      </c>
      <c r="D5" s="7">
        <v>0.0</v>
      </c>
      <c r="E5" s="12">
        <f>Bond_Assumptions!$B$20*1000*Bond_Assumptions!$B$13</f>
        <v>121739.1304</v>
      </c>
      <c r="F5" s="12">
        <f>sum(C5:E5)</f>
        <v>121739.1304</v>
      </c>
    </row>
    <row r="6">
      <c r="A6" s="5" t="s">
        <v>22</v>
      </c>
      <c r="B6" s="6">
        <v>2.0</v>
      </c>
      <c r="C6" s="12">
        <f>-Bond_Assumptions!B7</f>
        <v>-2400000</v>
      </c>
      <c r="D6" s="12">
        <f>Bond_Assumptions!B18*1000</f>
        <v>2400000</v>
      </c>
      <c r="E6" s="12">
        <f>Bond_Assumptions!$B$20*1000*Bond_Assumptions!$B$13</f>
        <v>121739.1304</v>
      </c>
      <c r="F6" s="12">
        <f t="shared" ref="F6:F9" si="1">SUM(C6:E6)</f>
        <v>121739.1304</v>
      </c>
    </row>
    <row r="7">
      <c r="A7" s="5" t="s">
        <v>37</v>
      </c>
      <c r="B7" s="6">
        <v>3.0</v>
      </c>
      <c r="C7" s="7">
        <v>0.0</v>
      </c>
      <c r="D7" s="7">
        <v>0.0</v>
      </c>
      <c r="E7" s="12">
        <f>Bond_Assumptions!$B$20*1000*Bond_Assumptions!$B$13</f>
        <v>121739.1304</v>
      </c>
      <c r="F7" s="12">
        <f t="shared" si="1"/>
        <v>121739.1304</v>
      </c>
    </row>
    <row r="8">
      <c r="A8" s="5" t="s">
        <v>42</v>
      </c>
      <c r="B8" s="6">
        <v>4.0</v>
      </c>
      <c r="C8" s="7">
        <v>0.0</v>
      </c>
      <c r="D8" s="7">
        <v>0.0</v>
      </c>
      <c r="E8" s="12">
        <f>Bond_Assumptions!$B$20*1000*Bond_Assumptions!$B$13</f>
        <v>121739.1304</v>
      </c>
      <c r="F8" s="12">
        <f t="shared" si="1"/>
        <v>121739.1304</v>
      </c>
    </row>
    <row r="9">
      <c r="A9" s="5" t="s">
        <v>32</v>
      </c>
      <c r="B9" s="6">
        <v>5.0</v>
      </c>
      <c r="C9" s="12">
        <f>-Bond_Assumptions!B11</f>
        <v>-3600000</v>
      </c>
      <c r="D9" s="7">
        <v>0.0</v>
      </c>
      <c r="E9" s="12">
        <f>Bond_Assumptions!B20*(1000*(1+Bond_Assumptions!B13))</f>
        <v>3600000</v>
      </c>
      <c r="F9" s="20">
        <f t="shared" si="1"/>
        <v>0</v>
      </c>
    </row>
    <row r="11">
      <c r="G11" s="15" t="s">
        <v>46</v>
      </c>
    </row>
  </sheetData>
  <mergeCells count="1">
    <mergeCell ref="A2:B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 t="s">
        <v>1</v>
      </c>
    </row>
    <row r="7">
      <c r="A7" s="4"/>
      <c r="B7" s="4"/>
      <c r="C7" s="4"/>
      <c r="D7" s="4"/>
      <c r="E7" s="4"/>
      <c r="F7" s="4"/>
    </row>
    <row r="8">
      <c r="A8" s="2" t="s">
        <v>9</v>
      </c>
    </row>
    <row r="12">
      <c r="A12" s="4"/>
      <c r="B12" s="4"/>
      <c r="C12" s="4"/>
      <c r="D12" s="4"/>
      <c r="E12" s="4"/>
      <c r="F12" s="4"/>
    </row>
    <row r="13">
      <c r="A13" s="2" t="s">
        <v>10</v>
      </c>
    </row>
  </sheetData>
  <mergeCells count="3">
    <mergeCell ref="A3:F6"/>
    <mergeCell ref="A8:F11"/>
    <mergeCell ref="A13:F16"/>
  </mergeCells>
  <drawing r:id="rId1"/>
</worksheet>
</file>