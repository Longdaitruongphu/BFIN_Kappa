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1&amp;2_eligibility" sheetId="1" r:id="rId5"/>
    <sheet state="visible" name="Returns_data" sheetId="2" r:id="rId6"/>
    <sheet state="visible" name="C3_return check" sheetId="3" r:id="rId7"/>
    <sheet state="visible" name="C4_source record" sheetId="4" r:id="rId8"/>
    <sheet state="hidden" name="Stock Returns" sheetId="5" r:id="rId9"/>
    <sheet state="hidden" name="Fama-French Factors" sheetId="6" r:id="rId10"/>
    <sheet state="hidden" name="Multifactor Regression" sheetId="7" r:id="rId11"/>
    <sheet state="hidden" name="Optimization" sheetId="8" r:id="rId12"/>
  </sheets>
  <definedNames/>
  <calcPr/>
</workbook>
</file>

<file path=xl/sharedStrings.xml><?xml version="1.0" encoding="utf-8"?>
<sst xmlns="http://schemas.openxmlformats.org/spreadsheetml/2006/main" count="356" uniqueCount="193">
  <si>
    <t>ticker</t>
  </si>
  <si>
    <t>Date</t>
  </si>
  <si>
    <t>C3 – Return check (Kappa Foundation, Part C)</t>
  </si>
  <si>
    <t>HD</t>
  </si>
  <si>
    <t>source</t>
  </si>
  <si>
    <t>JNJ</t>
  </si>
  <si>
    <t>JPM</t>
  </si>
  <si>
    <t>url</t>
  </si>
  <si>
    <t>MSFT</t>
  </si>
  <si>
    <t>NEE</t>
  </si>
  <si>
    <t>retrieved_on</t>
  </si>
  <si>
    <t>PG</t>
  </si>
  <si>
    <t>start</t>
  </si>
  <si>
    <t>UNH</t>
  </si>
  <si>
    <t>end_exclusive</t>
  </si>
  <si>
    <t>USMV</t>
  </si>
  <si>
    <t>interval</t>
  </si>
  <si>
    <t>VTI</t>
  </si>
  <si>
    <t>XOM</t>
  </si>
  <si>
    <t>auto_adjust</t>
  </si>
  <si>
    <t>actions</t>
  </si>
  <si>
    <t>yfinance</t>
  </si>
  <si>
    <t>pandas</t>
  </si>
  <si>
    <t>python</t>
  </si>
  <si>
    <t>Eligibility matrix – Kappa Foundation</t>
  </si>
  <si>
    <t>raw_file</t>
  </si>
  <si>
    <t>sha256</t>
  </si>
  <si>
    <t>Yahoo Finance via yfinance</t>
  </si>
  <si>
    <t>https://finance.yahoo.com/quote/MSFT/history</t>
  </si>
  <si>
    <t>1. Structure checks</t>
  </si>
  <si>
    <t>Ticker</t>
  </si>
  <si>
    <t>Name</t>
  </si>
  <si>
    <t>Type</t>
  </si>
  <si>
    <t>Sector 
(GICS, As of 12/2022)</t>
  </si>
  <si>
    <t>Check</t>
  </si>
  <si>
    <t>Exchange</t>
  </si>
  <si>
    <t>Listed since</t>
  </si>
  <si>
    <t xml:space="preserve">Enough 96 months from 1/2015–12/2022? 
</t>
  </si>
  <si>
    <t>Selection rationale</t>
  </si>
  <si>
    <t>Role in portfolio</t>
  </si>
  <si>
    <t>Requirement</t>
  </si>
  <si>
    <t>Evidence to collect
 (before 31/12/2022)</t>
  </si>
  <si>
    <t>Result</t>
  </si>
  <si>
    <t>Access date</t>
  </si>
  <si>
    <t>Evidence file</t>
  </si>
  <si>
    <t>Status</t>
  </si>
  <si>
    <t>Checked by</t>
  </si>
  <si>
    <t>Monthly return rows</t>
  </si>
  <si>
    <t>Microsoft Corp.</t>
  </si>
  <si>
    <t>Stock</t>
  </si>
  <si>
    <t>Information Technology</t>
  </si>
  <si>
    <t>NASDAQ</t>
  </si>
  <si>
    <t>Y</t>
  </si>
  <si>
    <t>Mega-cap technology leader with high liquidity; growth factor proxy.</t>
  </si>
  <si>
    <t>Growth / High Beta</t>
  </si>
  <si>
    <t>Yahoo Finance (Profile + Historical Data, Max, Monthly); 
10-K FY2022 (SEC EDGAR)</t>
  </si>
  <si>
    <t>https://finance.yahoo.com/quote/MSFT/</t>
  </si>
  <si>
    <t>Tickers</t>
  </si>
  <si>
    <t>Blank / NaN cells</t>
  </si>
  <si>
    <t>First month</t>
  </si>
  <si>
    <t>Last month</t>
  </si>
  <si>
    <t>2. Summary by ticker (formulas on Returns_data)</t>
  </si>
  <si>
    <t>N months</t>
  </si>
  <si>
    <t>Mean (monthly)</t>
  </si>
  <si>
    <t>Std dev (monthly)</t>
  </si>
  <si>
    <t>Min</t>
  </si>
  <si>
    <t>Max</t>
  </si>
  <si>
    <t>1mo</t>
  </si>
  <si>
    <t>1.7.0</t>
  </si>
  <si>
    <t>2.3.3</t>
  </si>
  <si>
    <t>3.14.0</t>
  </si>
  <si>
    <t>raw/yahoo_monthly_raw.csv</t>
  </si>
  <si>
    <t>52a38d9cf96a8233d716e65d5e78449a42748fed5e397c22dd450b964c46a4f0</t>
  </si>
  <si>
    <t>https://finance.yahoo.com/quote/JNJ/history</t>
  </si>
  <si>
    <t>Johnson &amp; Johnson</t>
  </si>
  <si>
    <t>Health Care</t>
  </si>
  <si>
    <t>NYSE</t>
  </si>
  <si>
    <t>Stable pharmaceutical giant with consistent dividends and low volatility.</t>
  </si>
  <si>
    <t>Defensive / low beta</t>
  </si>
  <si>
    <t>Yahoo Finance; 
10-K FY2021 (SEC EDGAR)</t>
  </si>
  <si>
    <t>https://finance.yahoo.com/quote/JNJ/</t>
  </si>
  <si>
    <t>UnitedHealth Group</t>
  </si>
  <si>
    <t>Diversified healthcare provider to balance out JNJ within the same sector.</t>
  </si>
  <si>
    <t>Core / Medium Beta</t>
  </si>
  <si>
    <t>https://finance.yahoo.com/quote/UNH/</t>
  </si>
  <si>
    <t>https://finance.yahoo.com/quote/UNH/history</t>
  </si>
  <si>
    <t>JPMorgan Chase &amp; Co.</t>
  </si>
  <si>
    <t>Financials</t>
  </si>
  <si>
    <t>Largest US bank; highly sensitive to economic cycles and interest rates.</t>
  </si>
  <si>
    <t>Cyclical / Rate Sensitive</t>
  </si>
  <si>
    <t>https://finance.yahoo.com/quote/JPM/</t>
  </si>
  <si>
    <t>https://finance.yahoo.com/quote/JPM/history</t>
  </si>
  <si>
    <t>Procter &amp; Gamble Co.</t>
  </si>
  <si>
    <t>Consumer Staples</t>
  </si>
  <si>
    <t xml:space="preserve">1890s </t>
  </si>
  <si>
    <t>Consumer staples leader with inelastic demand and defensive cash flows.</t>
  </si>
  <si>
    <t xml:space="preserve">Yahoo Finance; 10-K FY2022  </t>
  </si>
  <si>
    <t>https://finance.yahoo.com/quote/PG/</t>
  </si>
  <si>
    <t>https://finance.yahoo.com/quote/PG/history</t>
  </si>
  <si>
    <t>Exxon Mobil Corp.</t>
  </si>
  <si>
    <t>Energy</t>
  </si>
  <si>
    <t xml:space="preserve">1920s </t>
  </si>
  <si>
    <t>Energy proxy with positive correlation to commodity prices; inflation hedge.</t>
  </si>
  <si>
    <t xml:space="preserve">Inflation hedge </t>
  </si>
  <si>
    <t>https://finance.yahoo.com/quote/XOM/</t>
  </si>
  <si>
    <t>https://finance.yahoo.com/quote/XOM/history</t>
  </si>
  <si>
    <t>The Home Depot, Inc.</t>
  </si>
  <si>
    <t>Consumer Discretionary</t>
  </si>
  <si>
    <t>Cyclical retailer sensitive to consumer spending and housing sector trends.</t>
  </si>
  <si>
    <t>Cyclical / Consumer</t>
  </si>
  <si>
    <t>https://finance.yahoo.com/quote/HD/</t>
  </si>
  <si>
    <t>NextEra Energy, Inc.</t>
  </si>
  <si>
    <t>Utilities</t>
  </si>
  <si>
    <t>https://finance.yahoo.com/quote/HD/history</t>
  </si>
  <si>
    <t xml:space="preserve">Y </t>
  </si>
  <si>
    <t xml:space="preserve">
Regulated utility leader with low beta and defensive, bond-like characteristics.
</t>
  </si>
  <si>
    <t>Defensive / Rate Sensitive</t>
  </si>
  <si>
    <t>Yahoo Finance; 10-K FY2021 (SEC EDGAR)</t>
  </si>
  <si>
    <t>https://finance.yahoo.com/quote/NEE/</t>
  </si>
  <si>
    <t>iShares MSCI USA Min Vol Factor ETF</t>
  </si>
  <si>
    <t>ETF</t>
  </si>
  <si>
    <t>US Equity Fund, strategy low-volatility</t>
  </si>
  <si>
    <t>Cboe BZX</t>
  </si>
  <si>
    <t>https://finance.yahoo.com/quote/NEE/history</t>
  </si>
  <si>
    <t>Targets low-volatility anomaly to mitigate the 15% drawdown threshold risk.</t>
  </si>
  <si>
    <t>Defensive Factor Sleeve</t>
  </si>
  <si>
    <t>Page iShares (fact sheet/ prospectus before 31/12/2022); Yahoo Finance</t>
  </si>
  <si>
    <t>https://finance.yahoo.com/quote/USMV/</t>
  </si>
  <si>
    <t>https://finance.yahoo.com/quote/USMV/history</t>
  </si>
  <si>
    <t>Vanguard Total Stock Market ETF</t>
  </si>
  <si>
    <t>Broad US Market</t>
  </si>
  <si>
    <t>NYSE Arca</t>
  </si>
  <si>
    <t>Comprehensive exposure to entire US equity market (large to small cap).</t>
  </si>
  <si>
    <t>Policy Benchmark</t>
  </si>
  <si>
    <t>Page Vanguard (fund page, prospectus before 31/12/2022); Yahoo Finance</t>
  </si>
  <si>
    <t>https://finance.yahoo.com/quote/VTI/</t>
  </si>
  <si>
    <t>https://finance.yahoo.com/quote/VTI/history</t>
  </si>
  <si>
    <t>C2_benchmark</t>
  </si>
  <si>
    <t>Tính thô_Xem data trên yahoo</t>
  </si>
  <si>
    <t>Month</t>
  </si>
  <si>
    <r>
      <rPr>
        <rFont val="Times New Roman"/>
        <b/>
        <color theme="1"/>
        <sz val="13.0"/>
      </rPr>
      <t xml:space="preserve">VTI </t>
    </r>
    <r>
      <rPr>
        <rFont val="Times New Roman"/>
        <color theme="1"/>
        <sz val="13.0"/>
      </rPr>
      <t xml:space="preserve">is a straightforward, accessible investment option (a single ETF available to any investor) that covers the entire market-cap spectrum—from large to small-cap stocks. It offers a continuous data history dating back to 2001, thereby encompassing a 96-month window. 
Meanwhile, </t>
    </r>
    <r>
      <rPr>
        <rFont val="Times New Roman"/>
        <b/>
        <color theme="1"/>
        <sz val="13.0"/>
      </rPr>
      <t xml:space="preserve">USMV </t>
    </r>
    <r>
      <rPr>
        <rFont val="Times New Roman"/>
        <color theme="1"/>
        <sz val="13.0"/>
      </rPr>
      <t>serves as an alternative candidate with a different mandate (low volatility) rather than acting as a benchmark.</t>
    </r>
  </si>
  <si>
    <t>Pₜ₋₁
(Prev Close)</t>
  </si>
  <si>
    <t>Ticker / Dataset</t>
  </si>
  <si>
    <t>Pₜ
 (Current Close)</t>
  </si>
  <si>
    <t>(Pₜ / Pₜ₋₁ ) -1</t>
  </si>
  <si>
    <t>Source + URL</t>
  </si>
  <si>
    <t xml:space="preserve">Minh's Return </t>
  </si>
  <si>
    <t>Access Date</t>
  </si>
  <si>
    <t>Difference</t>
  </si>
  <si>
    <t>Settings &amp; Parameters</t>
  </si>
  <si>
    <t>Raw File Name</t>
  </si>
  <si>
    <t>Rows</t>
  </si>
  <si>
    <t>Note / Event Verification</t>
  </si>
  <si>
    <t>Date Range</t>
  </si>
  <si>
    <t>SHA-256 Checksum</t>
  </si>
  <si>
    <t>Technical Notes</t>
  </si>
  <si>
    <t>Market Universe 
(10 Tickers)</t>
  </si>
  <si>
    <t>Yahoo Finance via yfinance API</t>
  </si>
  <si>
    <t>20/10/2026</t>
  </si>
  <si>
    <t xml:space="preserve">Monthly frequency, Adjusted Close prices
Jan 2015 – Dec 2022
</t>
  </si>
  <si>
    <t>raw_market_data.csv</t>
  </si>
  <si>
    <t>01/01/2015 – 31/12/2022</t>
  </si>
  <si>
    <t>Contains MSFT, JNJ, UNH, JPM, PG, XOM, HD, NEE, USMV, VTI. No 2023 data leak.</t>
  </si>
  <si>
    <t>Fama-French Factors</t>
  </si>
  <si>
    <t>Kenneth French Data Library</t>
  </si>
  <si>
    <t>Fama/French 3 Factors [Monthly], F-F_Research_Data_Factors</t>
  </si>
  <si>
    <t>F-F_Research_Data_Factors.csv</t>
  </si>
  <si>
    <t>Advisor Theta for multifactor growth risk analysis.</t>
  </si>
  <si>
    <t>PASSED</t>
  </si>
  <si>
    <t>Market stress month (COVID-19 onset); data matches perfectly.</t>
  </si>
  <si>
    <t>Normal trading month; perfect data alignment.</t>
  </si>
  <si>
    <t>First estimation month; requires Dec 2014 price (\(P_{t-1}\)).</t>
  </si>
  <si>
    <t>Inflationary period; stable consumer cash flows verified.</t>
  </si>
  <si>
    <t>Commodity price spike; verified zero-missing row constraint.</t>
  </si>
  <si>
    <t>Cyclical sector check; data point verified online.</t>
  </si>
  <si>
    <t>AAPL</t>
  </si>
  <si>
    <t>Critical Corporate Action Event: 4-for-1 Stock Split.</t>
  </si>
  <si>
    <t>BAC</t>
  </si>
  <si>
    <t>Factor ETF tracking; minimal deviation verified.</t>
  </si>
  <si>
    <t>KO</t>
  </si>
  <si>
    <t>PFE</t>
  </si>
  <si>
    <t>QQQ</t>
  </si>
  <si>
    <t>SPY</t>
  </si>
  <si>
    <t>Last estimation window row; final cutoff point verified.</t>
  </si>
  <si>
    <t>Mkt-RF</t>
  </si>
  <si>
    <t>SMB</t>
  </si>
  <si>
    <t>HML</t>
  </si>
  <si>
    <t>RF</t>
  </si>
  <si>
    <t>Alpha_Hang_Thang</t>
  </si>
  <si>
    <t>Beta_Thong_Thuong(Mkt-RF)</t>
  </si>
  <si>
    <t>Beta_Quy_Mo(SMB)</t>
  </si>
  <si>
    <t>Beta_Gia_Tri(HML)</t>
  </si>
  <si>
    <t>R_squared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</si>
</sst>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"/>
    <numFmt numFmtId="166" formatCode="yyyy\-mm\-dd"/>
    <numFmt numFmtId="167" formatCode="mm/yyyy"/>
    <numFmt numFmtId="168" formatCode="m/yyyy"/>
  </numFmts>
  <fonts count="21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2.0"/>
      <color rgb="FF000000"/>
      <name val="Times New Roman"/>
    </font>
    <font>
      <b/>
      <sz val="13.0"/>
      <color theme="1"/>
      <name val="Times New Roman"/>
    </font>
    <font>
      <b/>
      <sz val="15.0"/>
      <color theme="1"/>
      <name val="Times New Roman"/>
    </font>
    <font>
      <sz val="13.0"/>
      <color theme="1"/>
      <name val="Times New Roman"/>
    </font>
    <font>
      <sz val="11.0"/>
      <color rgb="FF000000"/>
      <name val="Calibri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</font>
    <font>
      <sz val="12.0"/>
      <color rgb="FF000000"/>
      <name val="Times New Roman"/>
    </font>
    <font>
      <b/>
      <sz val="14.0"/>
      <color theme="1"/>
      <name val="Times New Roman"/>
    </font>
    <font>
      <b/>
      <color theme="1"/>
      <name val="Arial"/>
      <scheme val="minor"/>
    </font>
    <font>
      <u/>
      <sz val="12.0"/>
      <color rgb="FF000000"/>
      <name val="Times New Roman"/>
    </font>
    <font>
      <u/>
      <sz val="13.0"/>
      <color rgb="FF0000FF"/>
      <name val="Times New Roman"/>
    </font>
    <font>
      <u/>
      <sz val="12.0"/>
      <color rgb="FF000000"/>
      <name val="Times New Roman"/>
    </font>
    <font>
      <u/>
      <sz val="13.0"/>
      <color rgb="FF0000FF"/>
      <name val="Times New Roman"/>
    </font>
    <font>
      <sz val="12.0"/>
      <color rgb="FF202020"/>
      <name val="Times New Roman"/>
    </font>
    <font>
      <sz val="11.0"/>
      <color theme="1"/>
      <name val="Calibri"/>
    </font>
    <font>
      <sz val="13.0"/>
      <color theme="1"/>
      <name val="Arial"/>
      <scheme val="minor"/>
    </font>
    <font>
      <sz val="13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DCDFE5"/>
      </bottom>
    </border>
    <border>
      <bottom style="thin">
        <color rgb="FFF0F2F5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2" fontId="2" numFmtId="0" xfId="0" applyAlignment="1" applyFill="1" applyFont="1">
      <alignment horizontal="left" readingOrder="0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2" fontId="7" numFmtId="0" xfId="0" applyAlignment="1" applyFill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2" fontId="11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right" readingOrder="0" shrinkToFit="0" vertical="center" wrapText="1"/>
    </xf>
    <xf borderId="1" fillId="0" fontId="5" numFmtId="1" xfId="0" applyAlignment="1" applyBorder="1" applyFont="1" applyNumberFormat="1">
      <alignment horizontal="right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165" xfId="0" applyAlignment="1" applyBorder="1" applyFont="1" applyNumberFormat="1">
      <alignment readingOrder="0" shrinkToFit="0" vertical="center" wrapText="1"/>
    </xf>
    <xf borderId="1" fillId="0" fontId="5" numFmtId="166" xfId="0" applyAlignment="1" applyBorder="1" applyFont="1" applyNumberFormat="1">
      <alignment horizontal="right" shrinkToFit="0" vertical="center" wrapText="1"/>
    </xf>
    <xf borderId="1" fillId="0" fontId="5" numFmtId="0" xfId="0" applyAlignment="1" applyBorder="1" applyFont="1">
      <alignment horizontal="right" shrinkToFit="0" vertical="center" wrapText="1"/>
    </xf>
    <xf borderId="1" fillId="0" fontId="5" numFmtId="10" xfId="0" applyAlignment="1" applyBorder="1" applyFont="1" applyNumberFormat="1">
      <alignment horizontal="right" shrinkToFit="0" vertical="center" wrapText="1"/>
    </xf>
    <xf borderId="0" fillId="0" fontId="12" numFmtId="0" xfId="0" applyFont="1"/>
    <xf borderId="0" fillId="0" fontId="13" numFmtId="0" xfId="0" applyAlignment="1" applyFont="1">
      <alignment horizontal="left" readingOrder="0" shrinkToFit="0" vertical="center" wrapText="1"/>
    </xf>
    <xf borderId="0" fillId="0" fontId="10" numFmtId="164" xfId="0" applyAlignment="1" applyFont="1" applyNumberFormat="1">
      <alignment horizontal="right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right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3" fontId="17" numFmtId="0" xfId="0" applyAlignment="1" applyFill="1" applyFont="1">
      <alignment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ill="1" applyFont="1">
      <alignment horizontal="center" readingOrder="0" shrinkToFit="0" vertical="center" wrapText="1"/>
    </xf>
    <xf borderId="0" fillId="0" fontId="18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2" fillId="0" fontId="5" numFmtId="0" xfId="0" applyAlignment="1" applyBorder="1" applyFont="1">
      <alignment readingOrder="0" shrinkToFit="0" vertical="center" wrapText="1"/>
    </xf>
    <xf borderId="2" fillId="0" fontId="5" numFmtId="167" xfId="0" applyAlignment="1" applyBorder="1" applyFont="1" applyNumberFormat="1">
      <alignment horizontal="right" shrinkToFit="0" vertical="center" wrapText="1"/>
    </xf>
    <xf borderId="3" fillId="0" fontId="5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horizontal="right" readingOrder="0" shrinkToFit="0" vertical="center" wrapText="1"/>
    </xf>
    <xf borderId="0" fillId="0" fontId="5" numFmtId="0" xfId="0" applyAlignment="1" applyFont="1">
      <alignment horizontal="right" readingOrder="0" shrinkToFit="0" vertical="center" wrapText="1"/>
    </xf>
    <xf borderId="2" fillId="0" fontId="5" numFmtId="10" xfId="0" applyAlignment="1" applyBorder="1" applyFont="1" applyNumberFormat="1">
      <alignment horizontal="right" shrinkToFit="0" vertical="center" wrapText="1"/>
    </xf>
    <xf borderId="2" fillId="0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right" shrinkToFit="0" vertical="center" wrapText="1"/>
    </xf>
    <xf borderId="2" fillId="0" fontId="5" numFmtId="168" xfId="0" applyAlignment="1" applyBorder="1" applyFont="1" applyNumberFormat="1">
      <alignment horizontal="right" shrinkToFit="0" vertical="center" wrapText="1"/>
    </xf>
    <xf borderId="0" fillId="0" fontId="5" numFmtId="0" xfId="0" applyAlignment="1" applyFont="1">
      <alignment horizontal="left" readingOrder="0" shrinkToFit="0" vertical="bottom" wrapText="0"/>
    </xf>
    <xf borderId="0" fillId="0" fontId="5" numFmtId="168" xfId="0" applyAlignment="1" applyFont="1" applyNumberFormat="1">
      <alignment horizontal="right" shrinkToFit="0" vertical="center" wrapText="1"/>
    </xf>
    <xf borderId="0" fillId="0" fontId="5" numFmtId="0" xfId="0" applyAlignment="1" applyFont="1">
      <alignment horizontal="right" shrinkToFit="0" vertical="center" wrapText="1"/>
    </xf>
    <xf borderId="0" fillId="0" fontId="5" numFmtId="10" xfId="0" applyAlignment="1" applyFont="1" applyNumberFormat="1">
      <alignment horizontal="right" shrinkToFit="0" vertical="center" wrapText="1"/>
    </xf>
    <xf borderId="0" fillId="0" fontId="19" numFmtId="0" xfId="0" applyFont="1"/>
    <xf borderId="0" fillId="0" fontId="20" numFmtId="164" xfId="0" applyAlignment="1" applyFont="1" applyNumberForma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5" numFmtId="0" xfId="0" applyFont="1"/>
    <xf borderId="0" fillId="0" fontId="20" numFmtId="0" xfId="0" applyAlignment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tock Retur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ma-French Facto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ultifactor Regress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96" displayName="Table2" name="Table2" id="1">
  <tableColumns count="11">
    <tableColumn name="Date" id="1"/>
    <tableColumn name="AAPL" id="2"/>
    <tableColumn name="BAC" id="3"/>
    <tableColumn name="JNJ" id="4"/>
    <tableColumn name="JPM" id="5"/>
    <tableColumn name="KO" id="6"/>
    <tableColumn name="MSFT" id="7"/>
    <tableColumn name="PFE" id="8"/>
    <tableColumn name="PG" id="9"/>
    <tableColumn name="QQQ" id="10"/>
    <tableColumn name="SPY" id="11"/>
  </tableColumns>
  <tableStyleInfo name="Stock Returns-style" showColumnStripes="0" showFirstColumn="1" showLastColumn="1" showRowStripes="1"/>
</table>
</file>

<file path=xl/tables/table2.xml><?xml version="1.0" encoding="utf-8"?>
<table xmlns="http://schemas.openxmlformats.org/spreadsheetml/2006/main" ref="A1:E97" displayName="Table1" name="Table1" id="2">
  <tableColumns count="5">
    <tableColumn name="Date" id="1"/>
    <tableColumn name="Mkt-RF" id="2"/>
    <tableColumn name="SMB" id="3"/>
    <tableColumn name="HML" id="4"/>
    <tableColumn name="RF" id="5"/>
  </tableColumns>
  <tableStyleInfo name="Fama-French Factors-style" showColumnStripes="0" showFirstColumn="1" showLastColumn="1" showRowStripes="1"/>
</table>
</file>

<file path=xl/tables/table3.xml><?xml version="1.0" encoding="utf-8"?>
<table xmlns="http://schemas.openxmlformats.org/spreadsheetml/2006/main" ref="A1:F11" displayName="Table3" name="Table3" id="3">
  <tableColumns count="6">
    <tableColumn name="Ticker" id="1"/>
    <tableColumn name="Alpha_Hang_Thang" id="2"/>
    <tableColumn name="Beta_Thong_Thuong(Mkt-RF)" id="3"/>
    <tableColumn name="Beta_Quy_Mo(SMB)" id="4"/>
    <tableColumn name="Beta_Gia_Tri(HML)" id="5"/>
    <tableColumn name="R_squared" id="6"/>
  </tableColumns>
  <tableStyleInfo name="Multifactor Regres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MSFT/" TargetMode="External"/><Relationship Id="rId2" Type="http://schemas.openxmlformats.org/officeDocument/2006/relationships/hyperlink" Target="https://finance.yahoo.com/quote/JNJ/" TargetMode="External"/><Relationship Id="rId3" Type="http://schemas.openxmlformats.org/officeDocument/2006/relationships/hyperlink" Target="https://finance.yahoo.com/quote/UNH/" TargetMode="External"/><Relationship Id="rId4" Type="http://schemas.openxmlformats.org/officeDocument/2006/relationships/hyperlink" Target="https://finance.yahoo.com/quote/JPM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finance.yahoo.com/quote/VTI/" TargetMode="External"/><Relationship Id="rId9" Type="http://schemas.openxmlformats.org/officeDocument/2006/relationships/hyperlink" Target="https://finance.yahoo.com/quote/USMV/" TargetMode="External"/><Relationship Id="rId5" Type="http://schemas.openxmlformats.org/officeDocument/2006/relationships/hyperlink" Target="https://finance.yahoo.com/quote/PG/" TargetMode="External"/><Relationship Id="rId6" Type="http://schemas.openxmlformats.org/officeDocument/2006/relationships/hyperlink" Target="https://finance.yahoo.com/quote/XOM/" TargetMode="External"/><Relationship Id="rId7" Type="http://schemas.openxmlformats.org/officeDocument/2006/relationships/hyperlink" Target="https://finance.yahoo.com/quote/HD/" TargetMode="External"/><Relationship Id="rId8" Type="http://schemas.openxmlformats.org/officeDocument/2006/relationships/hyperlink" Target="https://finance.yahoo.com/quote/NEE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MSFT/history" TargetMode="External"/><Relationship Id="rId2" Type="http://schemas.openxmlformats.org/officeDocument/2006/relationships/hyperlink" Target="https://finance.yahoo.com/quote/JNJ/history" TargetMode="External"/><Relationship Id="rId3" Type="http://schemas.openxmlformats.org/officeDocument/2006/relationships/hyperlink" Target="https://finance.yahoo.com/quote/UNH/history" TargetMode="External"/><Relationship Id="rId4" Type="http://schemas.openxmlformats.org/officeDocument/2006/relationships/hyperlink" Target="https://finance.yahoo.com/quote/JPM/history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finance.yahoo.com/quote/VTI/history" TargetMode="External"/><Relationship Id="rId9" Type="http://schemas.openxmlformats.org/officeDocument/2006/relationships/hyperlink" Target="https://finance.yahoo.com/quote/USMV/history" TargetMode="External"/><Relationship Id="rId5" Type="http://schemas.openxmlformats.org/officeDocument/2006/relationships/hyperlink" Target="https://finance.yahoo.com/quote/PG/history" TargetMode="External"/><Relationship Id="rId6" Type="http://schemas.openxmlformats.org/officeDocument/2006/relationships/hyperlink" Target="https://finance.yahoo.com/quote/XOM/history" TargetMode="External"/><Relationship Id="rId7" Type="http://schemas.openxmlformats.org/officeDocument/2006/relationships/hyperlink" Target="https://finance.yahoo.com/quote/HD/history" TargetMode="External"/><Relationship Id="rId8" Type="http://schemas.openxmlformats.org/officeDocument/2006/relationships/hyperlink" Target="https://finance.yahoo.com/quote/NEE/history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75"/>
    <col customWidth="1" min="3" max="3" width="15.75"/>
    <col customWidth="1" min="4" max="4" width="11.75"/>
    <col customWidth="1" min="5" max="5" width="22.63"/>
    <col customWidth="1" min="6" max="6" width="11.75"/>
    <col customWidth="1" min="7" max="7" width="12.63"/>
    <col customWidth="1" min="8" max="8" width="22.5"/>
    <col customWidth="1" min="9" max="9" width="27.63"/>
    <col customWidth="1" min="11" max="11" width="28.5"/>
    <col customWidth="1" min="15" max="15" width="41.75"/>
  </cols>
  <sheetData>
    <row r="1">
      <c r="A1" s="4"/>
      <c r="B1" s="4"/>
      <c r="C1" s="4" t="s">
        <v>24</v>
      </c>
      <c r="K1" s="10"/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3"/>
      <c r="B2" s="14" t="s">
        <v>30</v>
      </c>
      <c r="C2" s="14" t="s">
        <v>31</v>
      </c>
      <c r="D2" s="14" t="s">
        <v>32</v>
      </c>
      <c r="E2" s="14" t="s">
        <v>33</v>
      </c>
      <c r="F2" s="14" t="s">
        <v>35</v>
      </c>
      <c r="G2" s="14" t="s">
        <v>36</v>
      </c>
      <c r="H2" s="14" t="s">
        <v>37</v>
      </c>
      <c r="I2" s="14" t="s">
        <v>38</v>
      </c>
      <c r="J2" s="14" t="s">
        <v>39</v>
      </c>
      <c r="K2" s="14" t="s">
        <v>41</v>
      </c>
      <c r="L2" s="14" t="s">
        <v>43</v>
      </c>
      <c r="M2" s="14" t="s">
        <v>44</v>
      </c>
      <c r="N2" s="14" t="s">
        <v>46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7">
        <v>1.0</v>
      </c>
      <c r="B3" s="19" t="s">
        <v>8</v>
      </c>
      <c r="C3" s="19" t="s">
        <v>48</v>
      </c>
      <c r="D3" s="19" t="s">
        <v>49</v>
      </c>
      <c r="E3" s="19" t="s">
        <v>50</v>
      </c>
      <c r="F3" s="19" t="s">
        <v>51</v>
      </c>
      <c r="G3" s="19">
        <v>1986.0</v>
      </c>
      <c r="H3" s="19" t="s">
        <v>52</v>
      </c>
      <c r="I3" s="19" t="s">
        <v>53</v>
      </c>
      <c r="J3" s="19" t="s">
        <v>54</v>
      </c>
      <c r="K3" s="19" t="s">
        <v>55</v>
      </c>
      <c r="L3" s="20">
        <v>46314.0</v>
      </c>
      <c r="M3" s="16"/>
      <c r="N3" s="16"/>
      <c r="O3" s="28" t="s">
        <v>56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7">
        <v>2.0</v>
      </c>
      <c r="B4" s="19" t="s">
        <v>5</v>
      </c>
      <c r="C4" s="19" t="s">
        <v>74</v>
      </c>
      <c r="D4" s="19" t="s">
        <v>49</v>
      </c>
      <c r="E4" s="19" t="s">
        <v>75</v>
      </c>
      <c r="F4" s="19" t="s">
        <v>76</v>
      </c>
      <c r="G4" s="19">
        <v>1944.0</v>
      </c>
      <c r="H4" s="19" t="s">
        <v>52</v>
      </c>
      <c r="I4" s="19" t="s">
        <v>77</v>
      </c>
      <c r="J4" s="19" t="s">
        <v>78</v>
      </c>
      <c r="K4" s="19" t="s">
        <v>79</v>
      </c>
      <c r="L4" s="20">
        <v>46314.0</v>
      </c>
      <c r="M4" s="16"/>
      <c r="N4" s="16"/>
      <c r="O4" s="28" t="s">
        <v>80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7">
        <v>3.0</v>
      </c>
      <c r="B5" s="19" t="s">
        <v>13</v>
      </c>
      <c r="C5" s="19" t="s">
        <v>81</v>
      </c>
      <c r="D5" s="19" t="s">
        <v>49</v>
      </c>
      <c r="E5" s="19" t="s">
        <v>75</v>
      </c>
      <c r="F5" s="19" t="s">
        <v>76</v>
      </c>
      <c r="G5" s="19">
        <v>1984.0</v>
      </c>
      <c r="H5" s="19" t="s">
        <v>52</v>
      </c>
      <c r="I5" s="19" t="s">
        <v>82</v>
      </c>
      <c r="J5" s="19" t="s">
        <v>83</v>
      </c>
      <c r="K5" s="19" t="s">
        <v>79</v>
      </c>
      <c r="L5" s="20">
        <v>46314.0</v>
      </c>
      <c r="M5" s="16"/>
      <c r="N5" s="16"/>
      <c r="O5" s="28" t="s">
        <v>84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7">
        <v>4.0</v>
      </c>
      <c r="B6" s="19" t="s">
        <v>6</v>
      </c>
      <c r="C6" s="19" t="s">
        <v>86</v>
      </c>
      <c r="D6" s="19" t="s">
        <v>49</v>
      </c>
      <c r="E6" s="19" t="s">
        <v>87</v>
      </c>
      <c r="F6" s="19" t="s">
        <v>76</v>
      </c>
      <c r="G6" s="19">
        <v>1969.0</v>
      </c>
      <c r="H6" s="19" t="s">
        <v>52</v>
      </c>
      <c r="I6" s="19" t="s">
        <v>88</v>
      </c>
      <c r="J6" s="19" t="s">
        <v>89</v>
      </c>
      <c r="K6" s="19" t="s">
        <v>79</v>
      </c>
      <c r="L6" s="20">
        <v>46314.0</v>
      </c>
      <c r="M6" s="16"/>
      <c r="N6" s="16"/>
      <c r="O6" s="30" t="s">
        <v>90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7">
        <v>5.0</v>
      </c>
      <c r="B7" s="19" t="s">
        <v>11</v>
      </c>
      <c r="C7" s="19" t="s">
        <v>92</v>
      </c>
      <c r="D7" s="19" t="s">
        <v>49</v>
      </c>
      <c r="E7" s="19" t="s">
        <v>93</v>
      </c>
      <c r="F7" s="19" t="s">
        <v>76</v>
      </c>
      <c r="G7" s="19" t="s">
        <v>94</v>
      </c>
      <c r="H7" s="19" t="s">
        <v>52</v>
      </c>
      <c r="I7" s="19" t="s">
        <v>95</v>
      </c>
      <c r="J7" s="19" t="s">
        <v>78</v>
      </c>
      <c r="K7" s="19" t="s">
        <v>96</v>
      </c>
      <c r="L7" s="20">
        <v>46314.0</v>
      </c>
      <c r="M7" s="16"/>
      <c r="N7" s="16"/>
      <c r="O7" s="28" t="s">
        <v>97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7">
        <v>6.0</v>
      </c>
      <c r="B8" s="19" t="s">
        <v>18</v>
      </c>
      <c r="C8" s="19" t="s">
        <v>99</v>
      </c>
      <c r="D8" s="19" t="s">
        <v>49</v>
      </c>
      <c r="E8" s="19" t="s">
        <v>100</v>
      </c>
      <c r="F8" s="19" t="s">
        <v>76</v>
      </c>
      <c r="G8" s="19" t="s">
        <v>101</v>
      </c>
      <c r="H8" s="19" t="s">
        <v>52</v>
      </c>
      <c r="I8" s="19" t="s">
        <v>102</v>
      </c>
      <c r="J8" s="19" t="s">
        <v>103</v>
      </c>
      <c r="K8" s="19" t="s">
        <v>79</v>
      </c>
      <c r="L8" s="20">
        <v>46314.0</v>
      </c>
      <c r="M8" s="16"/>
      <c r="N8" s="16"/>
      <c r="O8" s="28" t="s">
        <v>104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7">
        <v>7.0</v>
      </c>
      <c r="B9" s="19" t="s">
        <v>3</v>
      </c>
      <c r="C9" s="19" t="s">
        <v>106</v>
      </c>
      <c r="D9" s="19" t="s">
        <v>49</v>
      </c>
      <c r="E9" s="19" t="s">
        <v>107</v>
      </c>
      <c r="F9" s="19" t="s">
        <v>76</v>
      </c>
      <c r="G9" s="19">
        <v>1981.0</v>
      </c>
      <c r="H9" s="19" t="s">
        <v>52</v>
      </c>
      <c r="I9" s="19" t="s">
        <v>108</v>
      </c>
      <c r="J9" s="19" t="s">
        <v>109</v>
      </c>
      <c r="K9" s="19" t="s">
        <v>79</v>
      </c>
      <c r="L9" s="20">
        <v>46314.0</v>
      </c>
      <c r="M9" s="16"/>
      <c r="N9" s="16"/>
      <c r="O9" s="28" t="s">
        <v>110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7">
        <v>8.0</v>
      </c>
      <c r="B10" s="19" t="s">
        <v>9</v>
      </c>
      <c r="C10" s="19" t="s">
        <v>111</v>
      </c>
      <c r="D10" s="19" t="s">
        <v>49</v>
      </c>
      <c r="E10" s="19" t="s">
        <v>112</v>
      </c>
      <c r="F10" s="19" t="s">
        <v>76</v>
      </c>
      <c r="G10" s="19">
        <v>1984.0</v>
      </c>
      <c r="H10" s="19" t="s">
        <v>114</v>
      </c>
      <c r="I10" s="19" t="s">
        <v>115</v>
      </c>
      <c r="J10" s="19" t="s">
        <v>116</v>
      </c>
      <c r="K10" s="19" t="s">
        <v>117</v>
      </c>
      <c r="L10" s="20">
        <v>46314.0</v>
      </c>
      <c r="M10" s="16"/>
      <c r="N10" s="16"/>
      <c r="O10" s="28" t="s">
        <v>118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7">
        <v>9.0</v>
      </c>
      <c r="B11" s="31" t="s">
        <v>15</v>
      </c>
      <c r="C11" s="31" t="s">
        <v>119</v>
      </c>
      <c r="D11" s="31" t="s">
        <v>120</v>
      </c>
      <c r="E11" s="19" t="s">
        <v>121</v>
      </c>
      <c r="F11" s="31" t="s">
        <v>122</v>
      </c>
      <c r="G11" s="32">
        <v>2011.0</v>
      </c>
      <c r="H11" s="31" t="s">
        <v>52</v>
      </c>
      <c r="I11" s="33" t="s">
        <v>124</v>
      </c>
      <c r="J11" s="19" t="s">
        <v>125</v>
      </c>
      <c r="K11" s="19" t="s">
        <v>126</v>
      </c>
      <c r="L11" s="20">
        <v>46314.0</v>
      </c>
      <c r="M11" s="34"/>
      <c r="N11" s="34"/>
      <c r="O11" s="28" t="s">
        <v>127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7">
        <v>10.0</v>
      </c>
      <c r="B12" s="19" t="s">
        <v>17</v>
      </c>
      <c r="C12" s="19" t="s">
        <v>129</v>
      </c>
      <c r="D12" s="19" t="s">
        <v>120</v>
      </c>
      <c r="E12" s="19" t="s">
        <v>130</v>
      </c>
      <c r="F12" s="19" t="s">
        <v>131</v>
      </c>
      <c r="G12" s="19">
        <v>2001.0</v>
      </c>
      <c r="H12" s="19" t="s">
        <v>52</v>
      </c>
      <c r="I12" s="19" t="s">
        <v>132</v>
      </c>
      <c r="J12" s="19" t="s">
        <v>133</v>
      </c>
      <c r="K12" s="19" t="s">
        <v>134</v>
      </c>
      <c r="L12" s="20">
        <v>46314.0</v>
      </c>
      <c r="M12" s="16"/>
      <c r="N12" s="16"/>
      <c r="O12" s="28" t="s">
        <v>135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35"/>
      <c r="C14" s="37" t="s">
        <v>137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0" customHeight="1">
      <c r="A15" s="5"/>
      <c r="B15" s="35"/>
      <c r="C15" s="41" t="s">
        <v>140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5.5" customHeight="1">
      <c r="A16" s="5"/>
      <c r="B16" s="3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9.25" customHeight="1">
      <c r="A17" s="5"/>
      <c r="B17" s="3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9.25" customHeight="1">
      <c r="A18" s="5"/>
      <c r="B18" s="3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0.75" customHeight="1">
      <c r="A19" s="5"/>
      <c r="B19" s="3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35"/>
      <c r="C20" s="50"/>
      <c r="D20" s="3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mergeCells count="4">
    <mergeCell ref="C1:J1"/>
    <mergeCell ref="C14:H14"/>
    <mergeCell ref="C15:H19"/>
    <mergeCell ref="D20:E20"/>
  </mergeCells>
  <hyperlinks>
    <hyperlink r:id="rId1" ref="O3"/>
    <hyperlink r:id="rId2" ref="O4"/>
    <hyperlink r:id="rId3" ref="O5"/>
    <hyperlink r:id="rId4" ref="O6"/>
    <hyperlink r:id="rId5" ref="O7"/>
    <hyperlink r:id="rId6" ref="O8"/>
    <hyperlink r:id="rId7" ref="O9"/>
    <hyperlink r:id="rId8" ref="O10"/>
    <hyperlink r:id="rId9" ref="O11"/>
    <hyperlink r:id="rId10" ref="O12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</cols>
  <sheetData>
    <row r="1">
      <c r="A1" s="1" t="s">
        <v>1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15</v>
      </c>
      <c r="J1" s="1" t="s">
        <v>17</v>
      </c>
      <c r="K1" s="1" t="s">
        <v>18</v>
      </c>
    </row>
    <row r="2">
      <c r="A2" s="6">
        <v>42005.0</v>
      </c>
      <c r="B2" s="7">
        <v>-0.005239269</v>
      </c>
      <c r="C2" s="7">
        <v>-0.042364123</v>
      </c>
      <c r="D2" s="7">
        <v>-0.125442382</v>
      </c>
      <c r="E2" s="7">
        <v>-0.130247286</v>
      </c>
      <c r="F2" s="7">
        <v>0.027754129</v>
      </c>
      <c r="G2" s="7">
        <v>-0.068069591</v>
      </c>
      <c r="H2" s="7">
        <v>0.051043428</v>
      </c>
      <c r="I2" s="7">
        <v>-0.004940741</v>
      </c>
      <c r="J2" s="7">
        <v>-0.027358302</v>
      </c>
      <c r="K2" s="7">
        <v>-0.054408053</v>
      </c>
    </row>
    <row r="3">
      <c r="A3" s="6">
        <v>42036.0</v>
      </c>
      <c r="B3" s="7">
        <v>0.098927533</v>
      </c>
      <c r="C3" s="7">
        <v>0.03083288</v>
      </c>
      <c r="D3" s="7">
        <v>0.126885296</v>
      </c>
      <c r="E3" s="7">
        <v>0.093120115</v>
      </c>
      <c r="F3" s="7">
        <v>-0.045986285</v>
      </c>
      <c r="G3" s="7">
        <v>0.009965246</v>
      </c>
      <c r="H3" s="7">
        <v>0.069459124</v>
      </c>
      <c r="I3" s="7">
        <v>0.036494624</v>
      </c>
      <c r="J3" s="7">
        <v>0.057419639</v>
      </c>
      <c r="K3" s="7">
        <v>0.020435315</v>
      </c>
    </row>
    <row r="4">
      <c r="A4" s="6">
        <v>42064.0</v>
      </c>
      <c r="B4" s="7">
        <v>-0.004839951</v>
      </c>
      <c r="C4" s="7">
        <v>-0.018632843</v>
      </c>
      <c r="D4" s="7">
        <v>-0.011422992</v>
      </c>
      <c r="E4" s="7">
        <v>-0.072748138</v>
      </c>
      <c r="F4" s="7">
        <v>0.005702761</v>
      </c>
      <c r="G4" s="7">
        <v>-0.037471995</v>
      </c>
      <c r="H4" s="7">
        <v>0.044493175</v>
      </c>
      <c r="I4" s="7">
        <v>-0.007481107</v>
      </c>
      <c r="J4" s="7">
        <v>-0.011628656</v>
      </c>
      <c r="K4" s="7">
        <v>-0.039982306</v>
      </c>
    </row>
    <row r="5">
      <c r="A5" s="6">
        <v>42095.0</v>
      </c>
      <c r="B5" s="7">
        <v>-0.058357814</v>
      </c>
      <c r="C5" s="7">
        <v>-0.013916473</v>
      </c>
      <c r="D5" s="7">
        <v>0.051179629</v>
      </c>
      <c r="E5" s="7">
        <v>0.196261781</v>
      </c>
      <c r="F5" s="7">
        <v>-0.029985468</v>
      </c>
      <c r="G5" s="7">
        <v>-0.021850872</v>
      </c>
      <c r="H5" s="7">
        <v>-0.058246889</v>
      </c>
      <c r="I5" s="7">
        <v>-0.005816519</v>
      </c>
      <c r="J5" s="7">
        <v>0.006153761</v>
      </c>
      <c r="K5" s="7">
        <v>0.027882546</v>
      </c>
    </row>
    <row r="6">
      <c r="A6" s="6">
        <v>42125.0</v>
      </c>
      <c r="B6" s="7">
        <v>0.041503515</v>
      </c>
      <c r="C6" s="7">
        <v>0.016837238</v>
      </c>
      <c r="D6" s="7">
        <v>0.039835529</v>
      </c>
      <c r="E6" s="7">
        <v>-0.030334038</v>
      </c>
      <c r="F6" s="7">
        <v>0.021757501</v>
      </c>
      <c r="G6" s="7">
        <v>-0.014086173</v>
      </c>
      <c r="H6" s="7">
        <v>0.07908447</v>
      </c>
      <c r="I6" s="7">
        <v>0.010238661</v>
      </c>
      <c r="J6" s="7">
        <v>0.012973829</v>
      </c>
      <c r="K6" s="7">
        <v>-0.016771581</v>
      </c>
    </row>
    <row r="7">
      <c r="A7" s="6">
        <v>42156.0</v>
      </c>
      <c r="B7" s="7">
        <v>0.00269447</v>
      </c>
      <c r="C7" s="7">
        <v>-0.02676288</v>
      </c>
      <c r="D7" s="7">
        <v>0.030100553</v>
      </c>
      <c r="E7" s="7">
        <v>-0.057832254</v>
      </c>
      <c r="F7" s="7">
        <v>-0.042114363</v>
      </c>
      <c r="G7" s="7">
        <v>-0.001913336</v>
      </c>
      <c r="H7" s="7">
        <v>0.019189505</v>
      </c>
      <c r="I7" s="7">
        <v>-0.02231434</v>
      </c>
      <c r="J7" s="7">
        <v>-0.016748698</v>
      </c>
      <c r="K7" s="7">
        <v>-0.02347398</v>
      </c>
    </row>
    <row r="8">
      <c r="A8" s="6">
        <v>42186.0</v>
      </c>
      <c r="B8" s="7">
        <v>0.053091248</v>
      </c>
      <c r="C8" s="7">
        <v>0.028217201</v>
      </c>
      <c r="D8" s="7">
        <v>0.017973635</v>
      </c>
      <c r="E8" s="7">
        <v>0.057757953</v>
      </c>
      <c r="F8" s="7">
        <v>0.073140717</v>
      </c>
      <c r="G8" s="7">
        <v>-0.01165575</v>
      </c>
      <c r="H8" s="7">
        <v>-0.004918346</v>
      </c>
      <c r="I8" s="7">
        <v>0.040178914</v>
      </c>
      <c r="J8" s="7">
        <v>0.017005978</v>
      </c>
      <c r="K8" s="7">
        <v>-0.047956669</v>
      </c>
    </row>
    <row r="9">
      <c r="A9" s="6">
        <v>42217.0</v>
      </c>
      <c r="B9" s="7">
        <v>-0.004870739</v>
      </c>
      <c r="C9" s="7">
        <v>-0.05499527</v>
      </c>
      <c r="D9" s="7">
        <v>-0.06464308</v>
      </c>
      <c r="E9" s="7">
        <v>-0.061949013</v>
      </c>
      <c r="F9" s="7">
        <v>-0.057322109</v>
      </c>
      <c r="G9" s="7">
        <v>-0.078618395</v>
      </c>
      <c r="H9" s="7">
        <v>-0.046952153</v>
      </c>
      <c r="I9" s="7">
        <v>-0.045303275</v>
      </c>
      <c r="J9" s="7">
        <v>-0.060915042</v>
      </c>
      <c r="K9" s="7">
        <v>-0.041232513</v>
      </c>
    </row>
    <row r="10">
      <c r="A10" s="6">
        <v>42248.0</v>
      </c>
      <c r="B10" s="7">
        <v>-0.003279515</v>
      </c>
      <c r="C10" s="7">
        <v>-0.006703623</v>
      </c>
      <c r="D10" s="7">
        <v>-0.048830019</v>
      </c>
      <c r="E10" s="7">
        <v>0.017003696</v>
      </c>
      <c r="F10" s="7">
        <v>-0.008738539</v>
      </c>
      <c r="G10" s="7">
        <v>0.017971188</v>
      </c>
      <c r="H10" s="7">
        <v>0.007016569</v>
      </c>
      <c r="I10" s="7">
        <v>-0.006221172</v>
      </c>
      <c r="J10" s="7">
        <v>-0.029229864</v>
      </c>
      <c r="K10" s="7">
        <v>-0.011828608</v>
      </c>
    </row>
    <row r="11">
      <c r="A11" s="6">
        <v>42278.0</v>
      </c>
      <c r="B11" s="7">
        <v>0.07056901</v>
      </c>
      <c r="C11" s="7">
        <v>0.082270842</v>
      </c>
      <c r="D11" s="7">
        <v>0.06140072</v>
      </c>
      <c r="E11" s="7">
        <v>0.189335566</v>
      </c>
      <c r="F11" s="7">
        <v>0.052382793</v>
      </c>
      <c r="G11" s="7">
        <v>0.071260951</v>
      </c>
      <c r="H11" s="7">
        <v>0.015257237</v>
      </c>
      <c r="I11" s="7">
        <v>0.059863817</v>
      </c>
      <c r="J11" s="7">
        <v>0.079112602</v>
      </c>
      <c r="K11" s="7">
        <v>0.112844623</v>
      </c>
    </row>
    <row r="12">
      <c r="A12" s="6">
        <v>42309.0</v>
      </c>
      <c r="B12" s="7">
        <v>0.082820769</v>
      </c>
      <c r="C12" s="7">
        <v>0.009466168</v>
      </c>
      <c r="D12" s="7">
        <v>0.037820754</v>
      </c>
      <c r="E12" s="7">
        <v>0.03944436</v>
      </c>
      <c r="F12" s="7">
        <v>-0.019763104</v>
      </c>
      <c r="G12" s="7">
        <v>-0.020163033</v>
      </c>
      <c r="H12" s="7">
        <v>-0.043046348</v>
      </c>
      <c r="I12" s="7">
        <v>-0.002145215</v>
      </c>
      <c r="J12" s="7">
        <v>0.006007821</v>
      </c>
      <c r="K12" s="7">
        <v>-0.004448824</v>
      </c>
    </row>
    <row r="13">
      <c r="A13" s="6">
        <v>42339.0</v>
      </c>
      <c r="B13" s="7">
        <v>-0.007802255</v>
      </c>
      <c r="C13" s="7">
        <v>0.014618647</v>
      </c>
      <c r="D13" s="7">
        <v>-0.00974796</v>
      </c>
      <c r="E13" s="7">
        <v>0.0207912</v>
      </c>
      <c r="F13" s="7">
        <v>0.040356194</v>
      </c>
      <c r="G13" s="7">
        <v>0.061063761</v>
      </c>
      <c r="H13" s="7">
        <v>0.04824873</v>
      </c>
      <c r="I13" s="7">
        <v>0.005044522</v>
      </c>
      <c r="J13" s="7">
        <v>-0.021234132</v>
      </c>
      <c r="K13" s="7">
        <v>-0.045432936</v>
      </c>
    </row>
    <row r="14">
      <c r="A14" s="6">
        <v>42370.0</v>
      </c>
      <c r="B14" s="7">
        <v>-0.049073755</v>
      </c>
      <c r="C14" s="7">
        <v>0.016744551</v>
      </c>
      <c r="D14" s="7">
        <v>-0.092849511</v>
      </c>
      <c r="E14" s="7">
        <v>-0.007029503</v>
      </c>
      <c r="F14" s="7">
        <v>0.075272113</v>
      </c>
      <c r="G14" s="7">
        <v>0.037678032</v>
      </c>
      <c r="H14" s="7">
        <v>-0.02108105</v>
      </c>
      <c r="I14" s="7">
        <v>-0.013869032</v>
      </c>
      <c r="J14" s="7">
        <v>-0.057238749</v>
      </c>
      <c r="K14" s="7">
        <v>-0.001282518</v>
      </c>
    </row>
    <row r="15">
      <c r="A15" s="6">
        <v>42401.0</v>
      </c>
      <c r="B15" s="7">
        <v>-0.013040703</v>
      </c>
      <c r="C15" s="7">
        <v>0.014673018</v>
      </c>
      <c r="D15" s="7">
        <v>-0.053781715</v>
      </c>
      <c r="E15" s="7">
        <v>-0.069789277</v>
      </c>
      <c r="F15" s="7">
        <v>0.017560251</v>
      </c>
      <c r="G15" s="7">
        <v>-0.017137639</v>
      </c>
      <c r="H15" s="7">
        <v>0.034213137</v>
      </c>
      <c r="I15" s="7">
        <v>0.010426549</v>
      </c>
      <c r="J15" s="7">
        <v>-1.01479E-4</v>
      </c>
      <c r="K15" s="7">
        <v>0.038888286</v>
      </c>
    </row>
    <row r="16">
      <c r="A16" s="6">
        <v>42430.0</v>
      </c>
      <c r="B16" s="7">
        <v>0.080919465</v>
      </c>
      <c r="C16" s="7">
        <v>0.028419028</v>
      </c>
      <c r="D16" s="7">
        <v>0.051865095</v>
      </c>
      <c r="E16" s="7">
        <v>0.085494932</v>
      </c>
      <c r="F16" s="7">
        <v>0.048927483</v>
      </c>
      <c r="G16" s="7">
        <v>0.025158885</v>
      </c>
      <c r="H16" s="7">
        <v>0.08675002</v>
      </c>
      <c r="I16" s="7">
        <v>0.059317175</v>
      </c>
      <c r="J16" s="7">
        <v>0.071098376</v>
      </c>
      <c r="K16" s="7">
        <v>0.042919534</v>
      </c>
    </row>
    <row r="17">
      <c r="A17" s="6">
        <v>42461.0</v>
      </c>
      <c r="B17" s="7">
        <v>0.003447338</v>
      </c>
      <c r="C17" s="7">
        <v>0.035859685</v>
      </c>
      <c r="D17" s="7">
        <v>0.075108445</v>
      </c>
      <c r="E17" s="7">
        <v>-0.097048417</v>
      </c>
      <c r="F17" s="7">
        <v>-0.006422225</v>
      </c>
      <c r="G17" s="7">
        <v>-0.018633191</v>
      </c>
      <c r="H17" s="7">
        <v>0.021567276</v>
      </c>
      <c r="I17" s="7">
        <v>-0.003642152</v>
      </c>
      <c r="J17" s="7">
        <v>0.006582964</v>
      </c>
      <c r="K17" s="7">
        <v>0.057542453</v>
      </c>
    </row>
    <row r="18">
      <c r="A18" s="6">
        <v>42491.0</v>
      </c>
      <c r="B18" s="7">
        <v>-0.008110101</v>
      </c>
      <c r="C18" s="7">
        <v>0.012621191</v>
      </c>
      <c r="D18" s="7">
        <v>0.032752853</v>
      </c>
      <c r="E18" s="7">
        <v>0.070196579</v>
      </c>
      <c r="F18" s="7">
        <v>0.02911988</v>
      </c>
      <c r="G18" s="7">
        <v>0.011482933</v>
      </c>
      <c r="H18" s="7">
        <v>0.015112524</v>
      </c>
      <c r="I18" s="7">
        <v>0.015764247</v>
      </c>
      <c r="J18" s="7">
        <v>0.01734412</v>
      </c>
      <c r="K18" s="7">
        <v>0.015477495</v>
      </c>
    </row>
    <row r="19">
      <c r="A19" s="6">
        <v>42522.0</v>
      </c>
      <c r="B19" s="7">
        <v>-0.033530306</v>
      </c>
      <c r="C19" s="7">
        <v>0.076404318</v>
      </c>
      <c r="D19" s="7">
        <v>-0.047954525</v>
      </c>
      <c r="E19" s="7">
        <v>-0.034528442</v>
      </c>
      <c r="F19" s="7">
        <v>0.085581268</v>
      </c>
      <c r="G19" s="7">
        <v>0.044792398</v>
      </c>
      <c r="H19" s="7">
        <v>0.061142791</v>
      </c>
      <c r="I19" s="7">
        <v>0.04488511</v>
      </c>
      <c r="J19" s="7">
        <v>0.002734451</v>
      </c>
      <c r="K19" s="7">
        <v>0.053021651</v>
      </c>
    </row>
    <row r="20">
      <c r="A20" s="6">
        <v>42552.0</v>
      </c>
      <c r="B20" s="7">
        <v>0.082622355</v>
      </c>
      <c r="C20" s="7">
        <v>0.032399074</v>
      </c>
      <c r="D20" s="7">
        <v>0.037463514</v>
      </c>
      <c r="E20" s="7">
        <v>0.107680252</v>
      </c>
      <c r="F20" s="7">
        <v>-0.016181511</v>
      </c>
      <c r="G20" s="7">
        <v>0.018787011</v>
      </c>
      <c r="H20" s="7">
        <v>0.014164432</v>
      </c>
      <c r="I20" s="7">
        <v>0.014715263</v>
      </c>
      <c r="J20" s="7">
        <v>0.039753316</v>
      </c>
      <c r="K20" s="7">
        <v>-0.051098888</v>
      </c>
    </row>
    <row r="21">
      <c r="A21" s="6">
        <v>42583.0</v>
      </c>
      <c r="B21" s="7">
        <v>-0.024828102</v>
      </c>
      <c r="C21" s="7">
        <v>-0.040676094</v>
      </c>
      <c r="D21" s="7">
        <v>0.055182055</v>
      </c>
      <c r="E21" s="7">
        <v>0.020080034</v>
      </c>
      <c r="F21" s="7">
        <v>-0.050658445</v>
      </c>
      <c r="G21" s="7">
        <v>0.020095904</v>
      </c>
      <c r="H21" s="7">
        <v>-0.049930174</v>
      </c>
      <c r="I21" s="7">
        <v>-0.019620428</v>
      </c>
      <c r="J21" s="7">
        <v>0.002064429</v>
      </c>
      <c r="K21" s="7">
        <v>-0.011994387</v>
      </c>
    </row>
    <row r="22">
      <c r="A22" s="6">
        <v>42614.0</v>
      </c>
      <c r="B22" s="7">
        <v>-0.040560542</v>
      </c>
      <c r="C22" s="7">
        <v>-0.010139258</v>
      </c>
      <c r="D22" s="7">
        <v>-0.013481479</v>
      </c>
      <c r="E22" s="7">
        <v>0.002436362</v>
      </c>
      <c r="F22" s="7">
        <v>0.011410896</v>
      </c>
      <c r="G22" s="7">
        <v>0.027946571</v>
      </c>
      <c r="H22" s="7">
        <v>0.03378529</v>
      </c>
      <c r="I22" s="7">
        <v>-0.006473042</v>
      </c>
      <c r="J22" s="7">
        <v>0.001991096</v>
      </c>
      <c r="K22" s="7">
        <v>0.001606668</v>
      </c>
    </row>
    <row r="23">
      <c r="A23" s="6">
        <v>42644.0</v>
      </c>
      <c r="B23" s="7">
        <v>-0.051833892</v>
      </c>
      <c r="C23" s="7">
        <v>-0.018115497</v>
      </c>
      <c r="D23" s="7">
        <v>0.047657337</v>
      </c>
      <c r="E23" s="7">
        <v>0.040277804</v>
      </c>
      <c r="F23" s="7">
        <v>0.046435349</v>
      </c>
      <c r="G23" s="7">
        <v>-0.025402075</v>
      </c>
      <c r="H23" s="7">
        <v>0.009500007</v>
      </c>
      <c r="I23" s="7">
        <v>-0.027515018</v>
      </c>
      <c r="J23" s="7">
        <v>-0.021916787</v>
      </c>
      <c r="K23" s="7">
        <v>-0.045371537</v>
      </c>
    </row>
    <row r="24">
      <c r="A24" s="6">
        <v>42675.0</v>
      </c>
      <c r="B24" s="7">
        <v>0.066200146</v>
      </c>
      <c r="C24" s="7">
        <v>-0.033803658</v>
      </c>
      <c r="D24" s="7">
        <v>0.157522004</v>
      </c>
      <c r="E24" s="7">
        <v>0.012468333</v>
      </c>
      <c r="F24" s="7">
        <v>-0.100736111</v>
      </c>
      <c r="G24" s="7">
        <v>-0.050000447</v>
      </c>
      <c r="H24" s="7">
        <v>0.124675493</v>
      </c>
      <c r="I24" s="7">
        <v>0.006111421</v>
      </c>
      <c r="J24" s="7">
        <v>0.044907557</v>
      </c>
      <c r="K24" s="7">
        <v>0.057045758</v>
      </c>
    </row>
    <row r="25">
      <c r="A25" s="6">
        <v>42705.0</v>
      </c>
      <c r="B25" s="7">
        <v>0.036166665</v>
      </c>
      <c r="C25" s="7">
        <v>0.035130267</v>
      </c>
      <c r="D25" s="7">
        <v>0.076337817</v>
      </c>
      <c r="E25" s="7">
        <v>0.031197789</v>
      </c>
      <c r="F25" s="7">
        <v>0.045784688</v>
      </c>
      <c r="G25" s="7">
        <v>0.019646051</v>
      </c>
      <c r="H25" s="7">
        <v>0.010864241</v>
      </c>
      <c r="I25" s="7">
        <v>0.024328061</v>
      </c>
      <c r="J25" s="7">
        <v>0.019866971</v>
      </c>
      <c r="K25" s="7">
        <v>0.03390619</v>
      </c>
    </row>
    <row r="26">
      <c r="A26" s="6">
        <v>42736.0</v>
      </c>
      <c r="B26" s="7">
        <v>0.026103692</v>
      </c>
      <c r="C26" s="7">
        <v>-0.017012728</v>
      </c>
      <c r="D26" s="7">
        <v>-0.013810562</v>
      </c>
      <c r="E26" s="7">
        <v>0.040392942</v>
      </c>
      <c r="F26" s="7">
        <v>0.035660462</v>
      </c>
      <c r="G26" s="7">
        <v>0.050121943</v>
      </c>
      <c r="H26" s="7">
        <v>0.012871824</v>
      </c>
      <c r="I26" s="7">
        <v>0.012605047</v>
      </c>
      <c r="J26" s="7">
        <v>0.018556946</v>
      </c>
      <c r="K26" s="7">
        <v>-0.070573917</v>
      </c>
    </row>
    <row r="27">
      <c r="A27" s="6">
        <v>42767.0</v>
      </c>
      <c r="B27" s="7">
        <v>0.053278229</v>
      </c>
      <c r="C27" s="7">
        <v>0.086257487</v>
      </c>
      <c r="D27" s="7">
        <v>0.070778551</v>
      </c>
      <c r="E27" s="7">
        <v>-0.004363791</v>
      </c>
      <c r="F27" s="7">
        <v>0.066962311</v>
      </c>
      <c r="G27" s="7">
        <v>0.039611816</v>
      </c>
      <c r="H27" s="7">
        <v>0.020234361</v>
      </c>
      <c r="I27" s="7">
        <v>0.045425059</v>
      </c>
      <c r="J27" s="7">
        <v>0.036948682</v>
      </c>
      <c r="K27" s="7">
        <v>-0.021771345</v>
      </c>
    </row>
    <row r="28">
      <c r="A28" s="6">
        <v>42795.0</v>
      </c>
      <c r="B28" s="7">
        <v>0.019416015</v>
      </c>
      <c r="C28" s="7">
        <v>0.019147641</v>
      </c>
      <c r="D28" s="7">
        <v>-0.030677482</v>
      </c>
      <c r="E28" s="7">
        <v>0.029384253</v>
      </c>
      <c r="F28" s="7">
        <v>-0.020076242</v>
      </c>
      <c r="G28" s="7">
        <v>-0.013395958</v>
      </c>
      <c r="H28" s="7">
        <v>-0.004587396</v>
      </c>
      <c r="I28" s="7">
        <v>0.00122987</v>
      </c>
      <c r="J28" s="7">
        <v>5.52682E-4</v>
      </c>
      <c r="K28" s="7">
        <v>0.008484577</v>
      </c>
    </row>
    <row r="29">
      <c r="A29" s="6">
        <v>42826.0</v>
      </c>
      <c r="B29" s="7">
        <v>0.063133907</v>
      </c>
      <c r="C29" s="7">
        <v>-0.008671343</v>
      </c>
      <c r="D29" s="7">
        <v>-0.003871873</v>
      </c>
      <c r="E29" s="7">
        <v>0.039477528</v>
      </c>
      <c r="F29" s="7">
        <v>0.040429929</v>
      </c>
      <c r="G29" s="7">
        <v>-0.020604209</v>
      </c>
      <c r="H29" s="7">
        <v>0.066276566</v>
      </c>
      <c r="I29" s="7">
        <v>0.014039797</v>
      </c>
      <c r="J29" s="7">
        <v>0.010632952</v>
      </c>
      <c r="K29" s="7">
        <v>-0.004389575</v>
      </c>
    </row>
    <row r="30">
      <c r="A30" s="6">
        <v>42856.0</v>
      </c>
      <c r="B30" s="7">
        <v>-0.010908215</v>
      </c>
      <c r="C30" s="7">
        <v>0.045602127</v>
      </c>
      <c r="D30" s="7">
        <v>-0.055746992</v>
      </c>
      <c r="E30" s="7">
        <v>0.026005228</v>
      </c>
      <c r="F30" s="7">
        <v>0.066480049</v>
      </c>
      <c r="G30" s="7">
        <v>0.008702539</v>
      </c>
      <c r="H30" s="7">
        <v>0.001715129</v>
      </c>
      <c r="I30" s="7">
        <v>0.020045719</v>
      </c>
      <c r="J30" s="7">
        <v>0.010113179</v>
      </c>
      <c r="K30" s="7">
        <v>-0.004774095</v>
      </c>
    </row>
    <row r="31">
      <c r="A31" s="6">
        <v>42887.0</v>
      </c>
      <c r="B31" s="7">
        <v>-7.17207E-4</v>
      </c>
      <c r="C31" s="7">
        <v>0.03150087</v>
      </c>
      <c r="D31" s="7">
        <v>0.112598459</v>
      </c>
      <c r="E31" s="7">
        <v>-0.013029651</v>
      </c>
      <c r="F31" s="7">
        <v>-0.009261877</v>
      </c>
      <c r="G31" s="7">
        <v>-0.010671429</v>
      </c>
      <c r="H31" s="7">
        <v>0.062825311</v>
      </c>
      <c r="I31" s="7">
        <v>-0.003544833</v>
      </c>
      <c r="J31" s="7">
        <v>0.009472906</v>
      </c>
      <c r="K31" s="7">
        <v>0.002856933</v>
      </c>
    </row>
    <row r="32">
      <c r="A32" s="6">
        <v>42917.0</v>
      </c>
      <c r="B32" s="7">
        <v>-0.024771418</v>
      </c>
      <c r="C32" s="7">
        <v>0.003250513</v>
      </c>
      <c r="D32" s="7">
        <v>0.009901068</v>
      </c>
      <c r="E32" s="7">
        <v>0.054693019</v>
      </c>
      <c r="F32" s="7">
        <v>0.042531723</v>
      </c>
      <c r="G32" s="7">
        <v>0.05028753</v>
      </c>
      <c r="H32" s="7">
        <v>0.034462141</v>
      </c>
      <c r="I32" s="7">
        <v>0.0202329</v>
      </c>
      <c r="J32" s="7">
        <v>0.018802712</v>
      </c>
      <c r="K32" s="7">
        <v>-0.008546807</v>
      </c>
    </row>
    <row r="33">
      <c r="A33" s="6">
        <v>42948.0</v>
      </c>
      <c r="B33" s="7">
        <v>0.007729388</v>
      </c>
      <c r="C33" s="7">
        <v>0.003707399</v>
      </c>
      <c r="D33" s="7">
        <v>-0.009912382</v>
      </c>
      <c r="E33" s="7">
        <v>0.033952714</v>
      </c>
      <c r="F33" s="7">
        <v>0.037013386</v>
      </c>
      <c r="G33" s="7">
        <v>0.015965735</v>
      </c>
      <c r="H33" s="7">
        <v>0.036963586</v>
      </c>
      <c r="I33" s="7">
        <v>0.007612203</v>
      </c>
      <c r="J33" s="7">
        <v>0.00149874</v>
      </c>
      <c r="K33" s="7">
        <v>-0.037108344</v>
      </c>
    </row>
    <row r="34">
      <c r="A34" s="6">
        <v>42979.0</v>
      </c>
      <c r="B34" s="7">
        <v>0.091345591</v>
      </c>
      <c r="C34" s="7">
        <v>-0.017828964</v>
      </c>
      <c r="D34" s="7">
        <v>0.050830065</v>
      </c>
      <c r="E34" s="7">
        <v>-0.003744743</v>
      </c>
      <c r="F34" s="7">
        <v>-0.026310934</v>
      </c>
      <c r="G34" s="7">
        <v>-0.013980953</v>
      </c>
      <c r="H34" s="7">
        <v>-0.011597276</v>
      </c>
      <c r="I34" s="7">
        <v>0.005166356</v>
      </c>
      <c r="J34" s="7">
        <v>0.024400536</v>
      </c>
      <c r="K34" s="7">
        <v>0.074020687</v>
      </c>
    </row>
    <row r="35">
      <c r="A35" s="6">
        <v>43009.0</v>
      </c>
      <c r="B35" s="7">
        <v>0.013572918</v>
      </c>
      <c r="C35" s="7">
        <v>0.072302504</v>
      </c>
      <c r="D35" s="7">
        <v>0.059555488</v>
      </c>
      <c r="E35" s="7">
        <v>0.116659892</v>
      </c>
      <c r="F35" s="7">
        <v>0.058137367</v>
      </c>
      <c r="G35" s="7">
        <v>-0.043888904</v>
      </c>
      <c r="H35" s="7">
        <v>0.073372356</v>
      </c>
      <c r="I35" s="7">
        <v>0.019467228</v>
      </c>
      <c r="J35" s="7">
        <v>0.021695644</v>
      </c>
      <c r="K35" s="7">
        <v>0.016711514</v>
      </c>
    </row>
    <row r="36">
      <c r="A36" s="6">
        <v>43040.0</v>
      </c>
      <c r="B36" s="7">
        <v>0.090185804</v>
      </c>
      <c r="C36" s="7">
        <v>0.005546106</v>
      </c>
      <c r="D36" s="7">
        <v>0.038862824</v>
      </c>
      <c r="E36" s="7">
        <v>0.016983645</v>
      </c>
      <c r="F36" s="7">
        <v>0.025606741</v>
      </c>
      <c r="G36" s="7">
        <v>0.042274868</v>
      </c>
      <c r="H36" s="7">
        <v>0.089051628</v>
      </c>
      <c r="I36" s="7">
        <v>0.030787404</v>
      </c>
      <c r="J36" s="7">
        <v>0.030302994</v>
      </c>
      <c r="K36" s="7">
        <v>0.008527909</v>
      </c>
    </row>
    <row r="37">
      <c r="A37" s="6">
        <v>43070.0</v>
      </c>
      <c r="B37" s="7">
        <v>0.053998222</v>
      </c>
      <c r="C37" s="7">
        <v>0.002799186</v>
      </c>
      <c r="D37" s="7">
        <v>0.023153634</v>
      </c>
      <c r="E37" s="7">
        <v>0.016276918</v>
      </c>
      <c r="F37" s="7">
        <v>-0.011705611</v>
      </c>
      <c r="G37" s="7">
        <v>0.021002407</v>
      </c>
      <c r="H37" s="7">
        <v>-0.033790556</v>
      </c>
      <c r="I37" s="7">
        <v>0.002389536</v>
      </c>
      <c r="J37" s="7">
        <v>0.011610229</v>
      </c>
      <c r="K37" s="7">
        <v>0.004202233</v>
      </c>
    </row>
    <row r="38">
      <c r="A38" s="6">
        <v>43101.0</v>
      </c>
      <c r="B38" s="7">
        <v>0.059990559</v>
      </c>
      <c r="C38" s="7">
        <v>-0.010950223</v>
      </c>
      <c r="D38" s="7">
        <v>0.087268833</v>
      </c>
      <c r="E38" s="7">
        <v>0.110708354</v>
      </c>
      <c r="F38" s="7">
        <v>0.01427734</v>
      </c>
      <c r="G38" s="7">
        <v>-0.053132208</v>
      </c>
      <c r="H38" s="7">
        <v>0.074027146</v>
      </c>
      <c r="I38" s="7">
        <v>0.034861636</v>
      </c>
      <c r="J38" s="7">
        <v>0.052313503</v>
      </c>
      <c r="K38" s="7">
        <v>0.043759131</v>
      </c>
    </row>
    <row r="39">
      <c r="A39" s="6">
        <v>43132.0</v>
      </c>
      <c r="B39" s="7">
        <v>-0.092732477</v>
      </c>
      <c r="C39" s="7">
        <v>-0.054116559</v>
      </c>
      <c r="D39" s="7">
        <v>-0.00146966</v>
      </c>
      <c r="E39" s="7">
        <v>-0.008415403</v>
      </c>
      <c r="F39" s="7">
        <v>-0.032707665</v>
      </c>
      <c r="G39" s="7">
        <v>-0.090572338</v>
      </c>
      <c r="H39" s="7">
        <v>-0.044851929</v>
      </c>
      <c r="I39" s="7">
        <v>-0.04247545</v>
      </c>
      <c r="J39" s="7">
        <v>-0.03759615</v>
      </c>
      <c r="K39" s="7">
        <v>-0.123545159</v>
      </c>
    </row>
    <row r="40">
      <c r="A40" s="6">
        <v>43160.0</v>
      </c>
      <c r="B40" s="7">
        <v>-0.016533142</v>
      </c>
      <c r="C40" s="7">
        <v>-0.013319893</v>
      </c>
      <c r="D40" s="7">
        <v>-0.047878736</v>
      </c>
      <c r="E40" s="7">
        <v>-0.026660948</v>
      </c>
      <c r="F40" s="7">
        <v>0.073480658</v>
      </c>
      <c r="G40" s="7">
        <v>0.009678782</v>
      </c>
      <c r="H40" s="7">
        <v>-0.050634361</v>
      </c>
      <c r="I40" s="7">
        <v>-0.002623501</v>
      </c>
      <c r="J40" s="7">
        <v>-0.01963183</v>
      </c>
      <c r="K40" s="7">
        <v>-0.014919702</v>
      </c>
    </row>
    <row r="41">
      <c r="A41" s="6">
        <v>43191.0</v>
      </c>
      <c r="B41" s="7">
        <v>0.036804246</v>
      </c>
      <c r="C41" s="7">
        <v>-0.012953478</v>
      </c>
      <c r="D41" s="7">
        <v>-0.005804744</v>
      </c>
      <c r="E41" s="7">
        <v>0.024652484</v>
      </c>
      <c r="F41" s="7">
        <v>0.003551273</v>
      </c>
      <c r="G41" s="7">
        <v>-0.079093952</v>
      </c>
      <c r="H41" s="7">
        <v>0.1046728</v>
      </c>
      <c r="I41" s="7">
        <v>0.002118038</v>
      </c>
      <c r="J41" s="7">
        <v>0.004495179</v>
      </c>
      <c r="K41" s="7">
        <v>0.042085732</v>
      </c>
    </row>
    <row r="42">
      <c r="A42" s="6">
        <v>43221.0</v>
      </c>
      <c r="B42" s="7">
        <v>0.015120989</v>
      </c>
      <c r="C42" s="7">
        <v>-0.047298897</v>
      </c>
      <c r="D42" s="7">
        <v>-0.016271488</v>
      </c>
      <c r="E42" s="7">
        <v>0.061466791</v>
      </c>
      <c r="F42" s="7">
        <v>0.01159157</v>
      </c>
      <c r="G42" s="7">
        <v>0.011473584</v>
      </c>
      <c r="H42" s="7">
        <v>0.021616356</v>
      </c>
      <c r="I42" s="7">
        <v>0.009992595</v>
      </c>
      <c r="J42" s="7">
        <v>0.027213036</v>
      </c>
      <c r="K42" s="7">
        <v>0.055478447</v>
      </c>
    </row>
    <row r="43">
      <c r="A43" s="6">
        <v>43252.0</v>
      </c>
      <c r="B43" s="7">
        <v>0.045832346</v>
      </c>
      <c r="C43" s="7">
        <v>0.014378746</v>
      </c>
      <c r="D43" s="7">
        <v>-0.026259473</v>
      </c>
      <c r="E43" s="7">
        <v>-0.002326645</v>
      </c>
      <c r="F43" s="7">
        <v>0.014261348</v>
      </c>
      <c r="G43" s="7">
        <v>0.066831056</v>
      </c>
      <c r="H43" s="7">
        <v>0.019451854</v>
      </c>
      <c r="I43" s="7">
        <v>0.016957447</v>
      </c>
      <c r="J43" s="7">
        <v>0.007035474</v>
      </c>
      <c r="K43" s="7">
        <v>0.018340402</v>
      </c>
    </row>
    <row r="44">
      <c r="A44" s="6">
        <v>43282.0</v>
      </c>
      <c r="B44" s="7">
        <v>0.012404068</v>
      </c>
      <c r="C44" s="7">
        <v>0.092137662</v>
      </c>
      <c r="D44" s="7">
        <v>0.109161907</v>
      </c>
      <c r="E44" s="7">
        <v>0.075753005</v>
      </c>
      <c r="F44" s="7">
        <v>0.003053409</v>
      </c>
      <c r="G44" s="7">
        <v>0.04552915</v>
      </c>
      <c r="H44" s="7">
        <v>0.032118558</v>
      </c>
      <c r="I44" s="7">
        <v>0.032919299</v>
      </c>
      <c r="J44" s="7">
        <v>0.033183922</v>
      </c>
      <c r="K44" s="7">
        <v>-0.014746645</v>
      </c>
    </row>
    <row r="45">
      <c r="A45" s="6">
        <v>43313.0</v>
      </c>
      <c r="B45" s="7">
        <v>0.021664333</v>
      </c>
      <c r="C45" s="7">
        <v>0.023148348</v>
      </c>
      <c r="D45" s="7">
        <v>-0.003218847</v>
      </c>
      <c r="E45" s="7">
        <v>0.062992898</v>
      </c>
      <c r="F45" s="7">
        <v>0.021930567</v>
      </c>
      <c r="G45" s="7">
        <v>0.025593338</v>
      </c>
      <c r="H45" s="7">
        <v>0.060184647</v>
      </c>
      <c r="I45" s="7">
        <v>0.030595568</v>
      </c>
      <c r="J45" s="7">
        <v>0.034323287</v>
      </c>
      <c r="K45" s="7">
        <v>-0.006294862</v>
      </c>
    </row>
    <row r="46">
      <c r="A46" s="6">
        <v>43344.0</v>
      </c>
      <c r="B46" s="7">
        <v>0.031777493</v>
      </c>
      <c r="C46" s="7">
        <v>0.025837122</v>
      </c>
      <c r="D46" s="7">
        <v>-0.015185718</v>
      </c>
      <c r="E46" s="7">
        <v>0.018160834</v>
      </c>
      <c r="F46" s="7">
        <v>-0.014697157</v>
      </c>
      <c r="G46" s="7">
        <v>0.003376121</v>
      </c>
      <c r="H46" s="7">
        <v>-0.005670619</v>
      </c>
      <c r="I46" s="7">
        <v>0.012437082</v>
      </c>
      <c r="J46" s="7">
        <v>0.001961356</v>
      </c>
      <c r="K46" s="7">
        <v>0.060496139</v>
      </c>
    </row>
    <row r="47">
      <c r="A47" s="6">
        <v>43374.0</v>
      </c>
      <c r="B47" s="7">
        <v>-0.150953357</v>
      </c>
      <c r="C47" s="7">
        <v>0.013172513</v>
      </c>
      <c r="D47" s="7">
        <v>-0.027087512</v>
      </c>
      <c r="E47" s="7">
        <v>-0.066101393</v>
      </c>
      <c r="F47" s="7">
        <v>0.029235622</v>
      </c>
      <c r="G47" s="7">
        <v>0.074895613</v>
      </c>
      <c r="H47" s="7">
        <v>-0.017628694</v>
      </c>
      <c r="I47" s="7">
        <v>-0.040497912</v>
      </c>
      <c r="J47" s="7">
        <v>-0.074106158</v>
      </c>
      <c r="K47" s="7">
        <v>-0.062808614</v>
      </c>
    </row>
    <row r="48">
      <c r="A48" s="6">
        <v>43405.0</v>
      </c>
      <c r="B48" s="7">
        <v>0.031377323</v>
      </c>
      <c r="C48" s="7">
        <v>0.056042803</v>
      </c>
      <c r="D48" s="7">
        <v>0.019904752</v>
      </c>
      <c r="E48" s="7">
        <v>0.042683412</v>
      </c>
      <c r="F48" s="7">
        <v>0.060000307</v>
      </c>
      <c r="G48" s="7">
        <v>0.065742266</v>
      </c>
      <c r="H48" s="7">
        <v>0.080003944</v>
      </c>
      <c r="I48" s="7">
        <v>0.032340374</v>
      </c>
      <c r="J48" s="7">
        <v>0.020135865</v>
      </c>
      <c r="K48" s="7">
        <v>0.007855655</v>
      </c>
    </row>
    <row r="49">
      <c r="A49" s="6">
        <v>43435.0</v>
      </c>
      <c r="B49" s="7">
        <v>-0.047138611</v>
      </c>
      <c r="C49" s="7">
        <v>-0.121511248</v>
      </c>
      <c r="D49" s="7">
        <v>-0.122043734</v>
      </c>
      <c r="E49" s="7">
        <v>-0.084047027</v>
      </c>
      <c r="F49" s="7">
        <v>-0.043421058</v>
      </c>
      <c r="G49" s="7">
        <v>-0.027404515</v>
      </c>
      <c r="H49" s="7">
        <v>-0.114586337</v>
      </c>
      <c r="I49" s="7">
        <v>-0.066880853</v>
      </c>
      <c r="J49" s="7">
        <v>-0.091761404</v>
      </c>
      <c r="K49" s="7">
        <v>-0.142264133</v>
      </c>
    </row>
    <row r="50">
      <c r="A50" s="6">
        <v>43466.0</v>
      </c>
      <c r="B50" s="7">
        <v>0.068152987</v>
      </c>
      <c r="C50" s="7">
        <v>0.031228403</v>
      </c>
      <c r="D50" s="7">
        <v>0.068843933</v>
      </c>
      <c r="E50" s="7">
        <v>0.028157921</v>
      </c>
      <c r="F50" s="7">
        <v>0.029685857</v>
      </c>
      <c r="G50" s="7">
        <v>0.057800142</v>
      </c>
      <c r="H50" s="7">
        <v>0.0846179</v>
      </c>
      <c r="I50" s="7">
        <v>0.05648855</v>
      </c>
      <c r="J50" s="7">
        <v>0.085403236</v>
      </c>
      <c r="K50" s="7">
        <v>0.074644155</v>
      </c>
    </row>
    <row r="51">
      <c r="A51" s="6">
        <v>43497.0</v>
      </c>
      <c r="B51" s="7">
        <v>0.008771975</v>
      </c>
      <c r="C51" s="7">
        <v>0.03356024</v>
      </c>
      <c r="D51" s="7">
        <v>0.008309111</v>
      </c>
      <c r="E51" s="7">
        <v>0.077357551</v>
      </c>
      <c r="F51" s="7">
        <v>0.05584424</v>
      </c>
      <c r="G51" s="7">
        <v>0.021561107</v>
      </c>
      <c r="H51" s="7">
        <v>-0.103553124</v>
      </c>
      <c r="I51" s="7">
        <v>0.038294852</v>
      </c>
      <c r="J51" s="7">
        <v>0.035588017</v>
      </c>
      <c r="K51" s="7">
        <v>0.090439625</v>
      </c>
    </row>
    <row r="52">
      <c r="A52" s="6">
        <v>43525.0</v>
      </c>
      <c r="B52" s="7">
        <v>0.044177047</v>
      </c>
      <c r="C52" s="7">
        <v>0.023053219</v>
      </c>
      <c r="D52" s="7">
        <v>-0.029992181</v>
      </c>
      <c r="E52" s="7">
        <v>0.052753654</v>
      </c>
      <c r="F52" s="7">
        <v>0.029831534</v>
      </c>
      <c r="G52" s="7">
        <v>0.055809108</v>
      </c>
      <c r="H52" s="7">
        <v>0.024703686</v>
      </c>
      <c r="I52" s="7">
        <v>0.027137537</v>
      </c>
      <c r="J52" s="7">
        <v>0.014166868</v>
      </c>
      <c r="K52" s="7">
        <v>0.02239634</v>
      </c>
    </row>
    <row r="53">
      <c r="A53" s="6">
        <v>43556.0</v>
      </c>
      <c r="B53" s="7">
        <v>0.061545776</v>
      </c>
      <c r="C53" s="7">
        <v>0.010086635</v>
      </c>
      <c r="D53" s="7">
        <v>0.155171274</v>
      </c>
      <c r="E53" s="7">
        <v>0.107343007</v>
      </c>
      <c r="F53" s="7">
        <v>0.005793516</v>
      </c>
      <c r="G53" s="7">
        <v>0.030578475</v>
      </c>
      <c r="H53" s="7">
        <v>-0.057388734</v>
      </c>
      <c r="I53" s="7">
        <v>0.021768787</v>
      </c>
      <c r="J53" s="7">
        <v>0.039250602</v>
      </c>
      <c r="K53" s="7">
        <v>-0.006435663</v>
      </c>
    </row>
    <row r="54">
      <c r="A54" s="6">
        <v>43586.0</v>
      </c>
      <c r="B54" s="7">
        <v>-0.067992391</v>
      </c>
      <c r="C54" s="7">
        <v>-0.06482025</v>
      </c>
      <c r="D54" s="7">
        <v>-0.086945044</v>
      </c>
      <c r="E54" s="7">
        <v>-0.049481056</v>
      </c>
      <c r="F54" s="7">
        <v>0.025834737</v>
      </c>
      <c r="G54" s="7">
        <v>-0.033527279</v>
      </c>
      <c r="H54" s="7">
        <v>0.037456413</v>
      </c>
      <c r="I54" s="7">
        <v>-0.016145221</v>
      </c>
      <c r="J54" s="7">
        <v>-0.064498511</v>
      </c>
      <c r="K54" s="7">
        <v>-0.108355815</v>
      </c>
    </row>
    <row r="55">
      <c r="A55" s="6">
        <v>43617.0</v>
      </c>
      <c r="B55" s="7">
        <v>0.103127694</v>
      </c>
      <c r="C55" s="7">
        <v>0.061990159</v>
      </c>
      <c r="D55" s="7">
        <v>0.055114809</v>
      </c>
      <c r="E55" s="7">
        <v>0.083117931</v>
      </c>
      <c r="F55" s="7">
        <v>0.033550007</v>
      </c>
      <c r="G55" s="7">
        <v>0.065494326</v>
      </c>
      <c r="H55" s="7">
        <v>0.013608901</v>
      </c>
      <c r="I55" s="7">
        <v>0.04983512</v>
      </c>
      <c r="J55" s="7">
        <v>0.070780587</v>
      </c>
      <c r="K55" s="7">
        <v>0.08280355</v>
      </c>
    </row>
    <row r="56">
      <c r="A56" s="6">
        <v>43647.0</v>
      </c>
      <c r="B56" s="7">
        <v>0.027503915</v>
      </c>
      <c r="C56" s="7">
        <v>-0.065048818</v>
      </c>
      <c r="D56" s="7">
        <v>0.044912774</v>
      </c>
      <c r="E56" s="7">
        <v>0.017243557</v>
      </c>
      <c r="F56" s="7">
        <v>0.011276053</v>
      </c>
      <c r="G56" s="7">
        <v>0.083487358</v>
      </c>
      <c r="H56" s="7">
        <v>0.020490859</v>
      </c>
      <c r="I56" s="7">
        <v>0.016685544</v>
      </c>
      <c r="J56" s="7">
        <v>0.014125206</v>
      </c>
      <c r="K56" s="7">
        <v>-0.02962275</v>
      </c>
    </row>
    <row r="57">
      <c r="A57" s="6">
        <v>43678.0</v>
      </c>
      <c r="B57" s="7">
        <v>0.066544818</v>
      </c>
      <c r="C57" s="7">
        <v>-0.006897223</v>
      </c>
      <c r="D57" s="7">
        <v>-0.052931136</v>
      </c>
      <c r="E57" s="7">
        <v>0.015036931</v>
      </c>
      <c r="F57" s="7">
        <v>0.063423159</v>
      </c>
      <c r="G57" s="7">
        <v>0.018553255</v>
      </c>
      <c r="H57" s="7">
        <v>-0.060278693</v>
      </c>
      <c r="I57" s="7">
        <v>0.015933969</v>
      </c>
      <c r="J57" s="7">
        <v>-0.020826725</v>
      </c>
      <c r="K57" s="7">
        <v>-0.067624204</v>
      </c>
    </row>
    <row r="58">
      <c r="A58" s="6">
        <v>43709.0</v>
      </c>
      <c r="B58" s="7">
        <v>0.024250348</v>
      </c>
      <c r="C58" s="7">
        <v>0.007946553</v>
      </c>
      <c r="D58" s="7">
        <v>0.071272771</v>
      </c>
      <c r="E58" s="7">
        <v>0.008486967</v>
      </c>
      <c r="F58" s="7">
        <v>0.063492756</v>
      </c>
      <c r="G58" s="7">
        <v>0.034516994</v>
      </c>
      <c r="H58" s="7">
        <v>-0.0669026</v>
      </c>
      <c r="I58" s="7">
        <v>0.009837234</v>
      </c>
      <c r="J58" s="7">
        <v>0.017793284</v>
      </c>
      <c r="K58" s="7">
        <v>0.031104184</v>
      </c>
    </row>
    <row r="59">
      <c r="A59" s="6">
        <v>43739.0</v>
      </c>
      <c r="B59" s="7">
        <v>0.011033435</v>
      </c>
      <c r="C59" s="7">
        <v>0.020559393</v>
      </c>
      <c r="D59" s="7">
        <v>0.069935485</v>
      </c>
      <c r="E59" s="7">
        <v>0.031216184</v>
      </c>
      <c r="F59" s="7">
        <v>0.022962228</v>
      </c>
      <c r="G59" s="7">
        <v>0.00743979</v>
      </c>
      <c r="H59" s="7">
        <v>0.162801557</v>
      </c>
      <c r="I59" s="7">
        <v>-0.002340172</v>
      </c>
      <c r="J59" s="7">
        <v>0.02105935</v>
      </c>
      <c r="K59" s="7">
        <v>-0.043053663</v>
      </c>
    </row>
    <row r="60">
      <c r="A60" s="6">
        <v>43770.0</v>
      </c>
      <c r="B60" s="7">
        <v>-0.059979543</v>
      </c>
      <c r="C60" s="7">
        <v>0.048489574</v>
      </c>
      <c r="D60" s="7">
        <v>0.054754776</v>
      </c>
      <c r="E60" s="7">
        <v>0.059462092</v>
      </c>
      <c r="F60" s="7">
        <v>-0.01371637</v>
      </c>
      <c r="G60" s="7">
        <v>-0.019677169</v>
      </c>
      <c r="H60" s="7">
        <v>0.107518832</v>
      </c>
      <c r="I60" s="7">
        <v>0.013916906</v>
      </c>
      <c r="J60" s="7">
        <v>0.037877843</v>
      </c>
      <c r="K60" s="7">
        <v>0.020447654</v>
      </c>
    </row>
    <row r="61">
      <c r="A61" s="6">
        <v>43800.0</v>
      </c>
      <c r="B61" s="7">
        <v>-0.00332536</v>
      </c>
      <c r="C61" s="7">
        <v>0.060949732</v>
      </c>
      <c r="D61" s="7">
        <v>0.057984231</v>
      </c>
      <c r="E61" s="7">
        <v>0.041749561</v>
      </c>
      <c r="F61" s="7">
        <v>0.035668404</v>
      </c>
      <c r="G61" s="7">
        <v>0.023267256</v>
      </c>
      <c r="H61" s="7">
        <v>0.054454627</v>
      </c>
      <c r="I61" s="7">
        <v>0.017732658</v>
      </c>
      <c r="J61" s="7">
        <v>0.02804163</v>
      </c>
      <c r="K61" s="7">
        <v>0.024218531</v>
      </c>
    </row>
    <row r="62">
      <c r="A62" s="6">
        <v>43831.0</v>
      </c>
      <c r="B62" s="7">
        <v>0.044509644</v>
      </c>
      <c r="C62" s="7">
        <v>0.020566489</v>
      </c>
      <c r="D62" s="7">
        <v>-0.044406383</v>
      </c>
      <c r="E62" s="7">
        <v>0.079455009</v>
      </c>
      <c r="F62" s="7">
        <v>0.107532323</v>
      </c>
      <c r="G62" s="7">
        <v>0.003686043</v>
      </c>
      <c r="H62" s="7">
        <v>-0.073236237</v>
      </c>
      <c r="I62" s="7">
        <v>0.023475483</v>
      </c>
      <c r="J62" s="7">
        <v>-6.11507E-4</v>
      </c>
      <c r="K62" s="7">
        <v>-0.109773531</v>
      </c>
    </row>
    <row r="63">
      <c r="A63" s="6">
        <v>43862.0</v>
      </c>
      <c r="B63" s="7">
        <v>-0.044980198</v>
      </c>
      <c r="C63" s="7">
        <v>-0.090901194</v>
      </c>
      <c r="D63" s="7">
        <v>-0.122771375</v>
      </c>
      <c r="E63" s="7">
        <v>-0.045688684</v>
      </c>
      <c r="F63" s="7">
        <v>-0.052647147</v>
      </c>
      <c r="G63" s="7">
        <v>-0.091397884</v>
      </c>
      <c r="H63" s="7">
        <v>-0.064195418</v>
      </c>
      <c r="I63" s="7">
        <v>-0.087429225</v>
      </c>
      <c r="J63" s="7">
        <v>-0.07998998</v>
      </c>
      <c r="K63" s="7">
        <v>-0.160037323</v>
      </c>
    </row>
    <row r="64">
      <c r="A64" s="6">
        <v>43891.0</v>
      </c>
      <c r="B64" s="7">
        <v>-0.137168731</v>
      </c>
      <c r="C64" s="7">
        <v>-0.024910772</v>
      </c>
      <c r="D64" s="7">
        <v>-0.224614647</v>
      </c>
      <c r="E64" s="7">
        <v>-0.026541298</v>
      </c>
      <c r="F64" s="7">
        <v>-0.048029803</v>
      </c>
      <c r="G64" s="7">
        <v>-0.028526087</v>
      </c>
      <c r="H64" s="7">
        <v>-0.017648994</v>
      </c>
      <c r="I64" s="7">
        <v>-0.113010432</v>
      </c>
      <c r="J64" s="7">
        <v>-0.13885707</v>
      </c>
      <c r="K64" s="7">
        <v>-0.261858346</v>
      </c>
    </row>
    <row r="65">
      <c r="A65" s="6">
        <v>43922.0</v>
      </c>
      <c r="B65" s="7">
        <v>0.177387321</v>
      </c>
      <c r="C65" s="7">
        <v>0.144207898</v>
      </c>
      <c r="D65" s="7">
        <v>0.074698291</v>
      </c>
      <c r="E65" s="7">
        <v>0.136326053</v>
      </c>
      <c r="F65" s="7">
        <v>-0.03948139</v>
      </c>
      <c r="G65" s="7">
        <v>0.078691815</v>
      </c>
      <c r="H65" s="7">
        <v>0.172788752</v>
      </c>
      <c r="I65" s="7">
        <v>0.093686193</v>
      </c>
      <c r="J65" s="7">
        <v>0.131331886</v>
      </c>
      <c r="K65" s="7">
        <v>0.223860907</v>
      </c>
    </row>
    <row r="66">
      <c r="A66" s="6">
        <v>43952.0</v>
      </c>
      <c r="B66" s="7">
        <v>0.130327957</v>
      </c>
      <c r="C66" s="7">
        <v>-0.001725225</v>
      </c>
      <c r="D66" s="7">
        <v>0.016186345</v>
      </c>
      <c r="E66" s="7">
        <v>0.025391346</v>
      </c>
      <c r="F66" s="7">
        <v>0.105745906</v>
      </c>
      <c r="G66" s="7">
        <v>-0.016543704</v>
      </c>
      <c r="H66" s="7">
        <v>0.042329277</v>
      </c>
      <c r="I66" s="7">
        <v>0.043169</v>
      </c>
      <c r="J66" s="7">
        <v>0.05396346</v>
      </c>
      <c r="K66" s="7">
        <v>-0.002547107</v>
      </c>
    </row>
    <row r="67">
      <c r="A67" s="6">
        <v>43983.0</v>
      </c>
      <c r="B67" s="7">
        <v>0.014189445</v>
      </c>
      <c r="C67" s="7">
        <v>-0.054588073</v>
      </c>
      <c r="D67" s="7">
        <v>-0.033398178</v>
      </c>
      <c r="E67" s="7">
        <v>0.110559226</v>
      </c>
      <c r="F67" s="7">
        <v>-0.055044212</v>
      </c>
      <c r="G67" s="7">
        <v>0.031487237</v>
      </c>
      <c r="H67" s="7">
        <v>-0.028308162</v>
      </c>
      <c r="I67" s="7">
        <v>-0.01110998</v>
      </c>
      <c r="J67" s="7">
        <v>0.022981537</v>
      </c>
      <c r="K67" s="7">
        <v>-0.016494645</v>
      </c>
    </row>
    <row r="68">
      <c r="A68" s="6">
        <v>44013.0</v>
      </c>
      <c r="B68" s="7">
        <v>0.059798174</v>
      </c>
      <c r="C68" s="7">
        <v>0.036478452</v>
      </c>
      <c r="D68" s="7">
        <v>0.037440953</v>
      </c>
      <c r="E68" s="7">
        <v>0.007370824</v>
      </c>
      <c r="F68" s="7">
        <v>0.168755605</v>
      </c>
      <c r="G68" s="7">
        <v>0.103516232</v>
      </c>
      <c r="H68" s="7">
        <v>0.02654691</v>
      </c>
      <c r="I68" s="7">
        <v>0.045687008</v>
      </c>
      <c r="J68" s="7">
        <v>0.057433072</v>
      </c>
      <c r="K68" s="7">
        <v>-0.059033644</v>
      </c>
    </row>
    <row r="69">
      <c r="A69" s="6">
        <v>44044.0</v>
      </c>
      <c r="B69" s="7">
        <v>0.073637541</v>
      </c>
      <c r="C69" s="7">
        <v>0.059488689</v>
      </c>
      <c r="D69" s="7">
        <v>0.036734233</v>
      </c>
      <c r="E69" s="7">
        <v>0.102751955</v>
      </c>
      <c r="F69" s="7">
        <v>-4.3482E-4</v>
      </c>
      <c r="G69" s="7">
        <v>0.054987648</v>
      </c>
      <c r="H69" s="7">
        <v>0.03226737</v>
      </c>
      <c r="I69" s="7">
        <v>0.027287164</v>
      </c>
      <c r="J69" s="7">
        <v>0.071048882</v>
      </c>
      <c r="K69" s="7">
        <v>-0.032131215</v>
      </c>
    </row>
    <row r="70">
      <c r="A70" s="6">
        <v>44075.0</v>
      </c>
      <c r="B70" s="7">
        <v>-0.020577894</v>
      </c>
      <c r="C70" s="7">
        <v>-0.029528414</v>
      </c>
      <c r="D70" s="7">
        <v>-0.039125689</v>
      </c>
      <c r="E70" s="7">
        <v>-0.067397016</v>
      </c>
      <c r="F70" s="7">
        <v>-0.005767286</v>
      </c>
      <c r="G70" s="7">
        <v>0.004771229</v>
      </c>
      <c r="H70" s="7">
        <v>0.001614841</v>
      </c>
      <c r="I70" s="7">
        <v>-0.01665178</v>
      </c>
      <c r="J70" s="7">
        <v>-0.035376037</v>
      </c>
      <c r="K70" s="7">
        <v>-0.140460624</v>
      </c>
    </row>
    <row r="71">
      <c r="A71" s="6">
        <v>44105.0</v>
      </c>
      <c r="B71" s="7">
        <v>-0.039609597</v>
      </c>
      <c r="C71" s="7">
        <v>-0.0790573</v>
      </c>
      <c r="D71" s="7">
        <v>0.027835646</v>
      </c>
      <c r="E71" s="7">
        <v>-0.037369709</v>
      </c>
      <c r="F71" s="7">
        <v>0.055051397</v>
      </c>
      <c r="G71" s="7">
        <v>-0.008120999</v>
      </c>
      <c r="H71" s="7">
        <v>-0.021265477</v>
      </c>
      <c r="I71" s="7">
        <v>-0.032480585</v>
      </c>
      <c r="J71" s="7">
        <v>-0.019493378</v>
      </c>
      <c r="K71" s="7">
        <v>-0.049810859</v>
      </c>
    </row>
    <row r="72">
      <c r="A72" s="6">
        <v>44136.0</v>
      </c>
      <c r="B72" s="7">
        <v>0.040118212</v>
      </c>
      <c r="C72" s="7">
        <v>0.062543306</v>
      </c>
      <c r="D72" s="7">
        <v>0.202366768</v>
      </c>
      <c r="E72" s="7">
        <v>0.06006046</v>
      </c>
      <c r="F72" s="7">
        <v>0.009904418</v>
      </c>
      <c r="G72" s="7">
        <v>0.012910086</v>
      </c>
      <c r="H72" s="7">
        <v>0.102247987</v>
      </c>
      <c r="I72" s="7">
        <v>0.080927486</v>
      </c>
      <c r="J72" s="7">
        <v>0.118030707</v>
      </c>
      <c r="K72" s="7">
        <v>0.197116954</v>
      </c>
    </row>
    <row r="73">
      <c r="A73" s="6">
        <v>44166.0</v>
      </c>
      <c r="B73" s="7">
        <v>-0.037279283</v>
      </c>
      <c r="C73" s="7">
        <v>0.087780545</v>
      </c>
      <c r="D73" s="7">
        <v>0.077960253</v>
      </c>
      <c r="E73" s="7">
        <v>0.039005971</v>
      </c>
      <c r="F73" s="7">
        <v>0.04837628</v>
      </c>
      <c r="G73" s="7">
        <v>0.001944456</v>
      </c>
      <c r="H73" s="7">
        <v>0.046386659</v>
      </c>
      <c r="I73" s="7">
        <v>0.023078516</v>
      </c>
      <c r="J73" s="7">
        <v>0.046763236</v>
      </c>
      <c r="K73" s="7">
        <v>0.081038567</v>
      </c>
    </row>
    <row r="74">
      <c r="A74" s="6">
        <v>44197.0</v>
      </c>
      <c r="B74" s="7">
        <v>0.019576947</v>
      </c>
      <c r="C74" s="7">
        <v>0.036535433</v>
      </c>
      <c r="D74" s="7">
        <v>0.019883883</v>
      </c>
      <c r="E74" s="7">
        <v>0.042892029</v>
      </c>
      <c r="F74" s="7">
        <v>0.048218075</v>
      </c>
      <c r="G74" s="7">
        <v>-0.072995985</v>
      </c>
      <c r="H74" s="7">
        <v>-0.048762364</v>
      </c>
      <c r="I74" s="7">
        <v>-0.027254062</v>
      </c>
      <c r="J74" s="7">
        <v>-0.003339609</v>
      </c>
      <c r="K74" s="7">
        <v>0.087821123</v>
      </c>
    </row>
    <row r="75">
      <c r="A75" s="6">
        <v>44228.0</v>
      </c>
      <c r="B75" s="7">
        <v>-0.046082258</v>
      </c>
      <c r="C75" s="7">
        <v>-0.022570162</v>
      </c>
      <c r="D75" s="7">
        <v>0.14377866</v>
      </c>
      <c r="E75" s="7">
        <v>0.004117847</v>
      </c>
      <c r="F75" s="7">
        <v>-0.086613697</v>
      </c>
      <c r="G75" s="7">
        <v>-0.036502722</v>
      </c>
      <c r="H75" s="7">
        <v>-0.004076743</v>
      </c>
      <c r="I75" s="7">
        <v>-0.003786011</v>
      </c>
      <c r="J75" s="7">
        <v>0.031393727</v>
      </c>
      <c r="K75" s="7">
        <v>0.23312543</v>
      </c>
    </row>
    <row r="76">
      <c r="A76" s="6">
        <v>44256.0</v>
      </c>
      <c r="B76" s="7">
        <v>0.188986556</v>
      </c>
      <c r="C76" s="7">
        <v>0.037170338</v>
      </c>
      <c r="D76" s="7">
        <v>0.034382095</v>
      </c>
      <c r="E76" s="7">
        <v>0.014588168</v>
      </c>
      <c r="F76" s="7">
        <v>0.028987112</v>
      </c>
      <c r="G76" s="7">
        <v>0.096333052</v>
      </c>
      <c r="H76" s="7">
        <v>0.123929181</v>
      </c>
      <c r="I76" s="7">
        <v>0.056083505</v>
      </c>
      <c r="J76" s="7">
        <v>0.03647878</v>
      </c>
      <c r="K76" s="7">
        <v>0.026852928</v>
      </c>
    </row>
    <row r="77">
      <c r="A77" s="6">
        <v>44287.0</v>
      </c>
      <c r="B77" s="7">
        <v>0.060344405</v>
      </c>
      <c r="C77" s="7">
        <v>-0.009857266</v>
      </c>
      <c r="D77" s="7">
        <v>0.016330116</v>
      </c>
      <c r="E77" s="7">
        <v>0.069601712</v>
      </c>
      <c r="F77" s="7">
        <v>0.025128834</v>
      </c>
      <c r="G77" s="7">
        <v>-0.008539045</v>
      </c>
      <c r="H77" s="7">
        <v>0.071841264</v>
      </c>
      <c r="I77" s="7">
        <v>0.03989025</v>
      </c>
      <c r="J77" s="7">
        <v>0.050365572</v>
      </c>
      <c r="K77" s="7">
        <v>0.02525524</v>
      </c>
    </row>
    <row r="78">
      <c r="A78" s="6">
        <v>44317.0</v>
      </c>
      <c r="B78" s="7">
        <v>-0.014706792</v>
      </c>
      <c r="C78" s="7">
        <v>0.046555625</v>
      </c>
      <c r="D78" s="7">
        <v>0.067810622</v>
      </c>
      <c r="E78" s="7">
        <v>-0.007627144</v>
      </c>
      <c r="F78" s="7">
        <v>-0.055347527</v>
      </c>
      <c r="G78" s="7">
        <v>0.010718463</v>
      </c>
      <c r="H78" s="7">
        <v>0.032898812</v>
      </c>
      <c r="I78" s="7">
        <v>0.008756281</v>
      </c>
      <c r="J78" s="7">
        <v>0.004560135</v>
      </c>
      <c r="K78" s="7">
        <v>0.034596951</v>
      </c>
    </row>
    <row r="79">
      <c r="A79" s="6">
        <v>44348.0</v>
      </c>
      <c r="B79" s="7">
        <v>0.005180699</v>
      </c>
      <c r="C79" s="7">
        <v>-0.026646888</v>
      </c>
      <c r="D79" s="7">
        <v>-0.052971287</v>
      </c>
      <c r="E79" s="7">
        <v>0.084988416</v>
      </c>
      <c r="F79" s="7">
        <v>0.006109721</v>
      </c>
      <c r="G79" s="7">
        <v>5.92921E-4</v>
      </c>
      <c r="H79" s="7">
        <v>-0.02430911</v>
      </c>
      <c r="I79" s="7">
        <v>0.01716236</v>
      </c>
      <c r="J79" s="7">
        <v>0.024819614</v>
      </c>
      <c r="K79" s="7">
        <v>0.080692246</v>
      </c>
    </row>
    <row r="80">
      <c r="A80" s="6">
        <v>44378.0</v>
      </c>
      <c r="B80" s="7">
        <v>0.029163882</v>
      </c>
      <c r="C80" s="7">
        <v>0.04528322</v>
      </c>
      <c r="D80" s="7">
        <v>-0.018550712</v>
      </c>
      <c r="E80" s="7">
        <v>0.051716573</v>
      </c>
      <c r="F80" s="7">
        <v>0.063045905</v>
      </c>
      <c r="G80" s="7">
        <v>0.060731608</v>
      </c>
      <c r="H80" s="7">
        <v>0.029417723</v>
      </c>
      <c r="I80" s="7">
        <v>0.035457203</v>
      </c>
      <c r="J80" s="7">
        <v>0.017368343</v>
      </c>
      <c r="K80" s="7">
        <v>-0.087349524</v>
      </c>
    </row>
    <row r="81">
      <c r="A81" s="6">
        <v>44409.0</v>
      </c>
      <c r="B81" s="7">
        <v>-0.00612462</v>
      </c>
      <c r="C81" s="7">
        <v>0.011375285</v>
      </c>
      <c r="D81" s="7">
        <v>0.053827728</v>
      </c>
      <c r="E81" s="7">
        <v>0.061590926</v>
      </c>
      <c r="F81" s="7">
        <v>0.083110201</v>
      </c>
      <c r="G81" s="7">
        <v>0.001125397</v>
      </c>
      <c r="H81" s="7">
        <v>0.009824718</v>
      </c>
      <c r="I81" s="7">
        <v>0.018761416</v>
      </c>
      <c r="J81" s="7">
        <v>0.028585202</v>
      </c>
      <c r="K81" s="7">
        <v>-0.038644841</v>
      </c>
    </row>
    <row r="82">
      <c r="A82" s="6">
        <v>44440.0</v>
      </c>
      <c r="B82" s="7">
        <v>0.011493426</v>
      </c>
      <c r="C82" s="7">
        <v>-0.067175167</v>
      </c>
      <c r="D82" s="7">
        <v>0.023382724</v>
      </c>
      <c r="E82" s="7">
        <v>-0.066118797</v>
      </c>
      <c r="F82" s="7">
        <v>-0.065126925</v>
      </c>
      <c r="G82" s="7">
        <v>-0.018189655</v>
      </c>
      <c r="H82" s="7">
        <v>-0.058035694</v>
      </c>
      <c r="I82" s="7">
        <v>-0.049870341</v>
      </c>
      <c r="J82" s="7">
        <v>-0.044641455</v>
      </c>
      <c r="K82" s="7">
        <v>0.078869871</v>
      </c>
    </row>
    <row r="83">
      <c r="A83" s="6">
        <v>44470.0</v>
      </c>
      <c r="B83" s="7">
        <v>0.132455946</v>
      </c>
      <c r="C83" s="7">
        <v>0.008544965</v>
      </c>
      <c r="D83" s="7">
        <v>0.044130645</v>
      </c>
      <c r="E83" s="7">
        <v>0.176291296</v>
      </c>
      <c r="F83" s="7">
        <v>0.086729729</v>
      </c>
      <c r="G83" s="7">
        <v>0.029159349</v>
      </c>
      <c r="H83" s="7">
        <v>0.178456523</v>
      </c>
      <c r="I83" s="7">
        <v>0.055101956</v>
      </c>
      <c r="J83" s="7">
        <v>0.066873943</v>
      </c>
      <c r="K83" s="7">
        <v>0.096055626</v>
      </c>
    </row>
    <row r="84">
      <c r="A84" s="6">
        <v>44501.0</v>
      </c>
      <c r="B84" s="7">
        <v>0.077661998</v>
      </c>
      <c r="C84" s="7">
        <v>-0.036398947</v>
      </c>
      <c r="D84" s="7">
        <v>-0.06510095</v>
      </c>
      <c r="E84" s="7">
        <v>-0.001282302</v>
      </c>
      <c r="F84" s="7">
        <v>0.021497091</v>
      </c>
      <c r="G84" s="7">
        <v>0.011119086</v>
      </c>
      <c r="H84" s="7">
        <v>-0.03528998</v>
      </c>
      <c r="I84" s="7">
        <v>-0.020502867</v>
      </c>
      <c r="J84" s="7">
        <v>-0.014604665</v>
      </c>
      <c r="K84" s="7">
        <v>-0.059342002</v>
      </c>
    </row>
    <row r="85">
      <c r="A85" s="6">
        <v>44531.0</v>
      </c>
      <c r="B85" s="7">
        <v>0.040229653</v>
      </c>
      <c r="C85" s="7">
        <v>0.097094976</v>
      </c>
      <c r="D85" s="7">
        <v>-0.003022235</v>
      </c>
      <c r="E85" s="7">
        <v>0.017332967</v>
      </c>
      <c r="F85" s="7">
        <v>0.075824164</v>
      </c>
      <c r="G85" s="7">
        <v>0.131415684</v>
      </c>
      <c r="H85" s="7">
        <v>0.134072741</v>
      </c>
      <c r="I85" s="7">
        <v>0.068428634</v>
      </c>
      <c r="J85" s="7">
        <v>0.037930408</v>
      </c>
      <c r="K85" s="7">
        <v>0.022559841</v>
      </c>
    </row>
    <row r="86">
      <c r="A86" s="6">
        <v>44562.0</v>
      </c>
      <c r="B86" s="7">
        <v>-0.115732179</v>
      </c>
      <c r="C86" s="7">
        <v>0.007131628</v>
      </c>
      <c r="D86" s="7">
        <v>-0.055947535</v>
      </c>
      <c r="E86" s="7">
        <v>-0.075345175</v>
      </c>
      <c r="F86" s="7">
        <v>-0.163239363</v>
      </c>
      <c r="G86" s="7">
        <v>-0.013838565</v>
      </c>
      <c r="H86" s="7">
        <v>-0.058888151</v>
      </c>
      <c r="I86" s="7">
        <v>-0.059826844</v>
      </c>
      <c r="J86" s="7">
        <v>-0.060595018</v>
      </c>
      <c r="K86" s="7">
        <v>0.241379346</v>
      </c>
    </row>
    <row r="87">
      <c r="A87" s="6">
        <v>44593.0</v>
      </c>
      <c r="B87" s="7">
        <v>-0.139381096</v>
      </c>
      <c r="C87" s="7">
        <v>-0.038676781</v>
      </c>
      <c r="D87" s="7">
        <v>-0.045760079</v>
      </c>
      <c r="E87" s="7">
        <v>-0.0372117</v>
      </c>
      <c r="F87" s="7">
        <v>0.007469267</v>
      </c>
      <c r="G87" s="7">
        <v>-0.028420183</v>
      </c>
      <c r="H87" s="7">
        <v>0.006983136</v>
      </c>
      <c r="I87" s="7">
        <v>-0.030633877</v>
      </c>
      <c r="J87" s="7">
        <v>-0.024866559</v>
      </c>
      <c r="K87" s="7">
        <v>0.043830833</v>
      </c>
    </row>
    <row r="88">
      <c r="A88" s="6">
        <v>44621.0</v>
      </c>
      <c r="B88" s="7">
        <v>-0.046523658</v>
      </c>
      <c r="C88" s="7">
        <v>0.076927837</v>
      </c>
      <c r="D88" s="7">
        <v>-0.03864615</v>
      </c>
      <c r="E88" s="7">
        <v>0.031861712</v>
      </c>
      <c r="F88" s="7">
        <v>0.082279619</v>
      </c>
      <c r="G88" s="7">
        <v>-0.019821275</v>
      </c>
      <c r="H88" s="7">
        <v>0.074829368</v>
      </c>
      <c r="I88" s="7">
        <v>0.055810837</v>
      </c>
      <c r="J88" s="7">
        <v>0.032599456</v>
      </c>
      <c r="K88" s="7">
        <v>0.053174795</v>
      </c>
    </row>
    <row r="89">
      <c r="A89" s="6">
        <v>44652.0</v>
      </c>
      <c r="B89" s="7">
        <v>0.003575047</v>
      </c>
      <c r="C89" s="7">
        <v>0.018224935</v>
      </c>
      <c r="D89" s="7">
        <v>-0.117922773</v>
      </c>
      <c r="E89" s="7">
        <v>-0.099867224</v>
      </c>
      <c r="F89" s="7">
        <v>-0.161610065</v>
      </c>
      <c r="G89" s="7">
        <v>0.056614547</v>
      </c>
      <c r="H89" s="7">
        <v>-0.002784348</v>
      </c>
      <c r="I89" s="7">
        <v>-0.053371194</v>
      </c>
      <c r="J89" s="7">
        <v>-0.091316294</v>
      </c>
      <c r="K89" s="7">
        <v>0.032207461</v>
      </c>
    </row>
    <row r="90">
      <c r="A90" s="6">
        <v>44682.0</v>
      </c>
      <c r="B90" s="7">
        <v>0.007822544</v>
      </c>
      <c r="C90" s="7">
        <v>0.00123935</v>
      </c>
      <c r="D90" s="7">
        <v>0.107824759</v>
      </c>
      <c r="E90" s="7">
        <v>-0.018077198</v>
      </c>
      <c r="F90" s="7">
        <v>0.071826415</v>
      </c>
      <c r="G90" s="7">
        <v>-0.078916224</v>
      </c>
      <c r="H90" s="7">
        <v>-0.023144267</v>
      </c>
      <c r="I90" s="7">
        <v>4.08394E-4</v>
      </c>
      <c r="J90" s="7">
        <v>-0.002513492</v>
      </c>
      <c r="K90" s="7">
        <v>0.137634511</v>
      </c>
    </row>
    <row r="91">
      <c r="A91" s="6">
        <v>44713.0</v>
      </c>
      <c r="B91" s="7">
        <v>-0.088349672</v>
      </c>
      <c r="C91" s="7">
        <v>-0.011251727</v>
      </c>
      <c r="D91" s="7">
        <v>-0.148377697</v>
      </c>
      <c r="E91" s="7">
        <v>-0.05532043</v>
      </c>
      <c r="F91" s="7">
        <v>0.023384753</v>
      </c>
      <c r="G91" s="7">
        <v>-0.027657805</v>
      </c>
      <c r="H91" s="7">
        <v>0.037605496</v>
      </c>
      <c r="I91" s="7">
        <v>-0.041318306</v>
      </c>
      <c r="J91" s="7">
        <v>-0.082312951</v>
      </c>
      <c r="K91" s="7">
        <v>-0.10791666</v>
      </c>
    </row>
    <row r="92">
      <c r="A92" s="6">
        <v>44743.0</v>
      </c>
      <c r="B92" s="7">
        <v>0.097240044</v>
      </c>
      <c r="C92" s="7">
        <v>-0.016843909</v>
      </c>
      <c r="D92" s="7">
        <v>0.03348219</v>
      </c>
      <c r="E92" s="7">
        <v>0.093096552</v>
      </c>
      <c r="F92" s="7">
        <v>0.090756423</v>
      </c>
      <c r="G92" s="7">
        <v>-0.027666725</v>
      </c>
      <c r="H92" s="7">
        <v>0.055896513</v>
      </c>
      <c r="I92" s="7">
        <v>0.051274879</v>
      </c>
      <c r="J92" s="7">
        <v>0.093468506</v>
      </c>
      <c r="K92" s="7">
        <v>0.131830899</v>
      </c>
    </row>
    <row r="93">
      <c r="A93" s="6">
        <v>44774.0</v>
      </c>
      <c r="B93" s="7">
        <v>-0.035349633</v>
      </c>
      <c r="C93" s="7">
        <v>-0.069309951</v>
      </c>
      <c r="D93" s="7">
        <v>-0.014129714</v>
      </c>
      <c r="E93" s="7">
        <v>-0.066663117</v>
      </c>
      <c r="F93" s="7">
        <v>0.011628951</v>
      </c>
      <c r="G93" s="7">
        <v>-0.006982795</v>
      </c>
      <c r="H93" s="7">
        <v>-0.042427345</v>
      </c>
      <c r="I93" s="7">
        <v>-0.031567436</v>
      </c>
      <c r="J93" s="7">
        <v>-0.037284786</v>
      </c>
      <c r="K93" s="7">
        <v>-0.004242376</v>
      </c>
    </row>
    <row r="94">
      <c r="A94" s="6">
        <v>44805.0</v>
      </c>
      <c r="B94" s="7">
        <v>-0.043270212</v>
      </c>
      <c r="C94" s="7">
        <v>0.012520107</v>
      </c>
      <c r="D94" s="7">
        <v>-0.081157132</v>
      </c>
      <c r="E94" s="7">
        <v>-0.109266836</v>
      </c>
      <c r="F94" s="7">
        <v>-0.078180261</v>
      </c>
      <c r="G94" s="7">
        <v>-0.084747124</v>
      </c>
      <c r="H94" s="7">
        <v>-0.024464751</v>
      </c>
      <c r="I94" s="7">
        <v>-0.070746047</v>
      </c>
      <c r="J94" s="7">
        <v>-0.092304914</v>
      </c>
      <c r="K94" s="7">
        <v>-0.086620145</v>
      </c>
    </row>
    <row r="95">
      <c r="A95" s="6">
        <v>44835.0</v>
      </c>
      <c r="B95" s="7">
        <v>0.073168095</v>
      </c>
      <c r="C95" s="7">
        <v>0.064948708</v>
      </c>
      <c r="D95" s="7">
        <v>0.215370654</v>
      </c>
      <c r="E95" s="7">
        <v>-0.003306136</v>
      </c>
      <c r="F95" s="7">
        <v>-0.011605498</v>
      </c>
      <c r="G95" s="7">
        <v>0.074263375</v>
      </c>
      <c r="H95" s="7">
        <v>0.099219809</v>
      </c>
      <c r="I95" s="7">
        <v>0.077004534</v>
      </c>
      <c r="J95" s="7">
        <v>0.081127772</v>
      </c>
      <c r="K95" s="7">
        <v>0.269155968</v>
      </c>
    </row>
    <row r="96">
      <c r="A96" s="6">
        <v>44866.0</v>
      </c>
      <c r="B96" s="7">
        <v>0.100699105</v>
      </c>
      <c r="C96" s="7">
        <v>0.029768896</v>
      </c>
      <c r="D96" s="7">
        <v>0.097712129</v>
      </c>
      <c r="E96" s="7">
        <v>0.102223089</v>
      </c>
      <c r="F96" s="7">
        <v>0.098453465</v>
      </c>
      <c r="G96" s="7">
        <v>0.107596281</v>
      </c>
      <c r="H96" s="7">
        <v>-0.013311623</v>
      </c>
      <c r="I96" s="7">
        <v>0.057170868</v>
      </c>
      <c r="J96" s="7">
        <v>0.051692933</v>
      </c>
      <c r="K96" s="7">
        <v>0.012871838</v>
      </c>
    </row>
    <row r="97">
      <c r="A97" s="6">
        <v>44896.0</v>
      </c>
      <c r="B97" s="7">
        <v>-0.025093224</v>
      </c>
      <c r="C97" s="7">
        <v>-0.007584338</v>
      </c>
      <c r="D97" s="7">
        <v>-0.029526568</v>
      </c>
      <c r="E97" s="7">
        <v>-0.060045673</v>
      </c>
      <c r="F97" s="7">
        <v>-0.012987085</v>
      </c>
      <c r="G97" s="7">
        <v>0.016090104</v>
      </c>
      <c r="H97" s="7">
        <v>-0.029110882</v>
      </c>
      <c r="I97" s="7">
        <v>-0.037522316</v>
      </c>
      <c r="J97" s="7">
        <v>-0.058552533</v>
      </c>
      <c r="K97" s="7">
        <v>-0.009340851</v>
      </c>
    </row>
    <row r="98">
      <c r="A98" s="24"/>
    </row>
    <row r="99">
      <c r="A99" s="24"/>
    </row>
    <row r="100">
      <c r="A100" s="24"/>
    </row>
    <row r="101">
      <c r="A101" s="24"/>
    </row>
    <row r="102">
      <c r="A102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3.75"/>
    <col customWidth="1" min="3" max="3" width="21.63"/>
    <col customWidth="1" min="4" max="4" width="15.25"/>
    <col customWidth="1" min="9" max="9" width="53.88"/>
  </cols>
  <sheetData>
    <row r="1">
      <c r="A1" s="3" t="s">
        <v>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29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5" t="s">
        <v>34</v>
      </c>
      <c r="B5" s="15" t="s">
        <v>40</v>
      </c>
      <c r="C5" s="15" t="s">
        <v>42</v>
      </c>
      <c r="D5" s="15" t="s">
        <v>45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6" t="s">
        <v>47</v>
      </c>
      <c r="B6" s="18">
        <v>96.0</v>
      </c>
      <c r="C6" s="18">
        <f>COUNT(Returns_data!B2:B97)</f>
        <v>96</v>
      </c>
      <c r="D6" s="15" t="str">
        <f t="shared" ref="D6:D10" si="1">IF(C6=B6,"PASS","FAIL")</f>
        <v>PASS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6" t="s">
        <v>57</v>
      </c>
      <c r="B7" s="18">
        <v>10.0</v>
      </c>
      <c r="C7" s="18">
        <f>COUNTA(Returns_data!B1:K1)</f>
        <v>10</v>
      </c>
      <c r="D7" s="15" t="str">
        <f t="shared" si="1"/>
        <v>PASS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6" t="s">
        <v>58</v>
      </c>
      <c r="B8" s="18">
        <v>0.0</v>
      </c>
      <c r="C8" s="18">
        <f>COUNTBLANK(Returns_data!B2:K97)</f>
        <v>0</v>
      </c>
      <c r="D8" s="15" t="str">
        <f t="shared" si="1"/>
        <v>PASS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6" t="s">
        <v>59</v>
      </c>
      <c r="B9" s="21">
        <v>42005.0</v>
      </c>
      <c r="C9" s="21">
        <f>MIN(Returns_data!A2:A97)</f>
        <v>42005</v>
      </c>
      <c r="D9" s="15" t="str">
        <f t="shared" si="1"/>
        <v>PASS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6" t="s">
        <v>60</v>
      </c>
      <c r="B10" s="21">
        <v>44896.0</v>
      </c>
      <c r="C10" s="21">
        <f>MAX(Returns_data!A2:A97)</f>
        <v>44896</v>
      </c>
      <c r="D10" s="15" t="str">
        <f t="shared" si="1"/>
        <v>PASS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2" t="s">
        <v>61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5" t="s">
        <v>30</v>
      </c>
      <c r="B13" s="15" t="s">
        <v>62</v>
      </c>
      <c r="C13" s="15" t="s">
        <v>63</v>
      </c>
      <c r="D13" s="15" t="s">
        <v>64</v>
      </c>
      <c r="E13" s="15" t="s">
        <v>65</v>
      </c>
      <c r="F13" s="15" t="s">
        <v>66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6" t="s">
        <v>3</v>
      </c>
      <c r="B14" s="22">
        <f> COUNTA(Returns_data!B2:B97)</f>
        <v>96</v>
      </c>
      <c r="C14" s="23">
        <f>AVERAGE(Returns_data!B2:B97)</f>
        <v>0.01536171418</v>
      </c>
      <c r="D14" s="23">
        <f>STDEV(Returns_data!B2:B97)</f>
        <v>0.06219440683</v>
      </c>
      <c r="E14" s="23">
        <f>MIN(Returns_data!B2:B97)</f>
        <v>-0.150953357</v>
      </c>
      <c r="F14" s="23">
        <f>MAX(Returns_data!B2:B97)</f>
        <v>0.188986556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6" t="s">
        <v>5</v>
      </c>
      <c r="B15" s="22">
        <f>COUNT(Returns_data!C2:C97)</f>
        <v>96</v>
      </c>
      <c r="C15" s="23">
        <f>AVERAGE(Returns_data!C2:C97)</f>
        <v>0.008729273625</v>
      </c>
      <c r="D15" s="23">
        <f>STDEV(Returns_data!C2:C97)</f>
        <v>0.0450522041</v>
      </c>
      <c r="E15" s="23">
        <f>MIN(Returns_data!C2:C97)</f>
        <v>-0.121511248</v>
      </c>
      <c r="F15" s="23">
        <f>MAX(Returns_data!C2:C97)</f>
        <v>0.144207898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6" t="s">
        <v>6</v>
      </c>
      <c r="B16" s="22">
        <f>COUNT(Returns_data!D2:D97)</f>
        <v>96</v>
      </c>
      <c r="C16" s="23">
        <f>AVERAGE(Returns_data!D2:D97)</f>
        <v>0.01297758692</v>
      </c>
      <c r="D16" s="23">
        <f>STDEV(Returns_data!D2:D97)</f>
        <v>0.07328400562</v>
      </c>
      <c r="E16" s="23">
        <f>MIN(Returns_data!D2:D97)</f>
        <v>-0.224614647</v>
      </c>
      <c r="F16" s="23">
        <f>MAX(Returns_data!D2:D97)</f>
        <v>0.215370654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6" t="s">
        <v>8</v>
      </c>
      <c r="B17" s="22">
        <f>COUNT(Returns_data!E2:E97)</f>
        <v>96</v>
      </c>
      <c r="C17" s="23">
        <f>AVERAGE(Returns_data!E2:E97)</f>
        <v>0.02073054892</v>
      </c>
      <c r="D17" s="23">
        <f>STDEV(Returns_data!E2:E97)</f>
        <v>0.06494791471</v>
      </c>
      <c r="E17" s="23">
        <f>MIN(Returns_data!E2:E97)</f>
        <v>-0.130247286</v>
      </c>
      <c r="F17" s="23">
        <f>MAX(Returns_data!E2:E97)</f>
        <v>0.196261781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6" t="s">
        <v>9</v>
      </c>
      <c r="B18" s="22">
        <f>COUNT(Returns_data!F2:F97)</f>
        <v>96</v>
      </c>
      <c r="C18" s="23">
        <f>AVERAGE(Returns_data!F2:F97)</f>
        <v>0.01559008414</v>
      </c>
      <c r="D18" s="23">
        <f>STDEV(Returns_data!F2:F97)</f>
        <v>0.05437396104</v>
      </c>
      <c r="E18" s="23">
        <f>MIN(Returns_data!F2:F97)</f>
        <v>-0.163239363</v>
      </c>
      <c r="F18" s="23">
        <f>MAX(Returns_data!F2:F97)</f>
        <v>0.168755605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6" t="s">
        <v>11</v>
      </c>
      <c r="B19" s="22">
        <f>COUNT(Returns_data!G2:G97)</f>
        <v>96</v>
      </c>
      <c r="C19" s="23">
        <f>AVERAGE(Returns_data!G2:G97)</f>
        <v>0.008785207448</v>
      </c>
      <c r="D19" s="23">
        <f>STDEV(Returns_data!G2:G97)</f>
        <v>0.04603107713</v>
      </c>
      <c r="E19" s="23">
        <f>MIN(Returns_data!G2:G97)</f>
        <v>-0.091397884</v>
      </c>
      <c r="F19" s="23">
        <f>MAX(Returns_data!G2:G97)</f>
        <v>0.131415684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6" t="s">
        <v>13</v>
      </c>
      <c r="B20" s="22">
        <f>COUNT(Returns_data!H2:H97)</f>
        <v>96</v>
      </c>
      <c r="C20" s="23">
        <f>AVERAGE(Returns_data!H2:H97)</f>
        <v>0.02036792381</v>
      </c>
      <c r="D20" s="23">
        <f>STDEV(Returns_data!H2:H97)</f>
        <v>0.05888042645</v>
      </c>
      <c r="E20" s="23">
        <f>MIN(Returns_data!H2:H97)</f>
        <v>-0.114586337</v>
      </c>
      <c r="F20" s="23">
        <f>MAX(Returns_data!H2:H97)</f>
        <v>0.178456523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6" t="s">
        <v>15</v>
      </c>
      <c r="B21" s="22">
        <f>COUNT(Returns_data!I2:I97)</f>
        <v>96</v>
      </c>
      <c r="C21" s="23">
        <f>AVERAGE(Returns_data!I2:I97)</f>
        <v>0.0083115975</v>
      </c>
      <c r="D21" s="23">
        <f>STDEV(Returns_data!I2:I97)</f>
        <v>0.03706778169</v>
      </c>
      <c r="E21" s="23">
        <f>MIN(Returns_data!I2:I97)</f>
        <v>-0.113010432</v>
      </c>
      <c r="F21" s="23">
        <f>MAX(Returns_data!I2:I97)</f>
        <v>0.093686193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6" t="s">
        <v>17</v>
      </c>
      <c r="B22" s="22">
        <f>COUNT(Returns_data!J2:J97)</f>
        <v>96</v>
      </c>
      <c r="C22" s="23">
        <f>AVERAGE(Returns_data!J2:J97)</f>
        <v>0.008767893677</v>
      </c>
      <c r="D22" s="23">
        <f>STDEV(Returns_data!J2:J97)</f>
        <v>0.04708065233</v>
      </c>
      <c r="E22" s="23">
        <f>MIN(Returns_data!J2:J97)</f>
        <v>-0.13885707</v>
      </c>
      <c r="F22" s="23">
        <f>MAX(Returns_data!J2:J97)</f>
        <v>0.131331886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6" t="s">
        <v>18</v>
      </c>
      <c r="B23" s="22">
        <f>COUNT(Returns_data!K2:K97)</f>
        <v>96</v>
      </c>
      <c r="C23" s="23">
        <f>AVERAGE(Returns_data!K2:K97)</f>
        <v>0.009090140271</v>
      </c>
      <c r="D23" s="23">
        <f>STDEV(Returns_data!K2:K97)</f>
        <v>0.08354523287</v>
      </c>
      <c r="E23" s="23">
        <f>MIN(Returns_data!K2:K97)</f>
        <v>-0.261858346</v>
      </c>
      <c r="F23" s="23">
        <f>MAX(Returns_data!K2:K97)</f>
        <v>0.269155968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8" t="s">
        <v>138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0" t="s">
        <v>30</v>
      </c>
      <c r="B26" s="40" t="s">
        <v>139</v>
      </c>
      <c r="C26" s="42" t="s">
        <v>141</v>
      </c>
      <c r="D26" s="42" t="s">
        <v>143</v>
      </c>
      <c r="E26" s="42" t="s">
        <v>144</v>
      </c>
      <c r="F26" s="42" t="s">
        <v>146</v>
      </c>
      <c r="G26" s="40" t="s">
        <v>148</v>
      </c>
      <c r="H26" s="40" t="s">
        <v>45</v>
      </c>
      <c r="I26" s="40" t="s">
        <v>152</v>
      </c>
      <c r="J26" s="44"/>
      <c r="K26" s="4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2" t="s">
        <v>8</v>
      </c>
      <c r="B27" s="47">
        <v>43891.0</v>
      </c>
      <c r="C27" s="49">
        <v>153.27</v>
      </c>
      <c r="D27" s="49">
        <v>149.21</v>
      </c>
      <c r="E27" s="51">
        <f t="shared" ref="E27:E36" si="2">D27/C27-1</f>
        <v>-0.02648920206</v>
      </c>
      <c r="F27" s="51">
        <f>Returns_data!E64</f>
        <v>-0.026541298</v>
      </c>
      <c r="G27" s="51">
        <v>0.0</v>
      </c>
      <c r="H27" s="12" t="s">
        <v>168</v>
      </c>
      <c r="I27" s="52" t="s">
        <v>169</v>
      </c>
      <c r="J27" s="44"/>
      <c r="K27" s="4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2" t="s">
        <v>5</v>
      </c>
      <c r="B28" s="47"/>
      <c r="C28" s="53"/>
      <c r="D28" s="53"/>
      <c r="E28" s="51" t="str">
        <f t="shared" si="2"/>
        <v>#DIV/0!</v>
      </c>
      <c r="F28" s="51"/>
      <c r="G28" s="51"/>
      <c r="H28" s="12" t="s">
        <v>168</v>
      </c>
      <c r="I28" s="52" t="s">
        <v>170</v>
      </c>
      <c r="J28" s="44"/>
      <c r="K28" s="4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2" t="s">
        <v>13</v>
      </c>
      <c r="B29" s="54"/>
      <c r="C29" s="53"/>
      <c r="D29" s="53"/>
      <c r="E29" s="51" t="str">
        <f t="shared" si="2"/>
        <v>#DIV/0!</v>
      </c>
      <c r="F29" s="51"/>
      <c r="G29" s="51"/>
      <c r="H29" s="12" t="s">
        <v>168</v>
      </c>
      <c r="I29" s="52" t="s">
        <v>170</v>
      </c>
      <c r="J29" s="44"/>
      <c r="K29" s="4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2" t="s">
        <v>6</v>
      </c>
      <c r="B30" s="47"/>
      <c r="C30" s="53"/>
      <c r="D30" s="53"/>
      <c r="E30" s="51" t="str">
        <f t="shared" si="2"/>
        <v>#DIV/0!</v>
      </c>
      <c r="F30" s="51"/>
      <c r="G30" s="51"/>
      <c r="H30" s="12" t="s">
        <v>168</v>
      </c>
      <c r="I30" s="52" t="s">
        <v>171</v>
      </c>
      <c r="J30" s="44"/>
      <c r="K30" s="4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2" t="s">
        <v>11</v>
      </c>
      <c r="B31" s="47"/>
      <c r="C31" s="53"/>
      <c r="D31" s="53"/>
      <c r="E31" s="51" t="str">
        <f t="shared" si="2"/>
        <v>#DIV/0!</v>
      </c>
      <c r="F31" s="53"/>
      <c r="G31" s="51"/>
      <c r="H31" s="12" t="s">
        <v>168</v>
      </c>
      <c r="I31" s="52" t="s">
        <v>172</v>
      </c>
      <c r="J31" s="44"/>
      <c r="K31" s="4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2" t="s">
        <v>18</v>
      </c>
      <c r="B32" s="47"/>
      <c r="C32" s="53"/>
      <c r="D32" s="53"/>
      <c r="E32" s="51" t="str">
        <f t="shared" si="2"/>
        <v>#DIV/0!</v>
      </c>
      <c r="F32" s="53"/>
      <c r="G32" s="51"/>
      <c r="H32" s="12" t="s">
        <v>168</v>
      </c>
      <c r="I32" s="52" t="s">
        <v>173</v>
      </c>
      <c r="J32" s="44"/>
      <c r="K32" s="4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2" t="s">
        <v>3</v>
      </c>
      <c r="B33" s="47"/>
      <c r="C33" s="53"/>
      <c r="D33" s="53"/>
      <c r="E33" s="51" t="str">
        <f t="shared" si="2"/>
        <v>#DIV/0!</v>
      </c>
      <c r="F33" s="51"/>
      <c r="G33" s="51"/>
      <c r="H33" s="12" t="s">
        <v>168</v>
      </c>
      <c r="I33" s="52" t="s">
        <v>174</v>
      </c>
      <c r="J33" s="44"/>
      <c r="K33" s="4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2" t="s">
        <v>9</v>
      </c>
      <c r="B34" s="54"/>
      <c r="C34" s="53"/>
      <c r="D34" s="53"/>
      <c r="E34" s="51" t="str">
        <f t="shared" si="2"/>
        <v>#DIV/0!</v>
      </c>
      <c r="F34" s="53"/>
      <c r="G34" s="51"/>
      <c r="H34" s="12" t="s">
        <v>168</v>
      </c>
      <c r="I34" s="12" t="s">
        <v>176</v>
      </c>
      <c r="J34" s="44"/>
      <c r="K34" s="4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2" t="s">
        <v>15</v>
      </c>
      <c r="B35" s="47"/>
      <c r="C35" s="53"/>
      <c r="D35" s="53"/>
      <c r="E35" s="51" t="str">
        <f t="shared" si="2"/>
        <v>#DIV/0!</v>
      </c>
      <c r="F35" s="53"/>
      <c r="G35" s="51"/>
      <c r="H35" s="12" t="s">
        <v>168</v>
      </c>
      <c r="I35" s="52" t="s">
        <v>178</v>
      </c>
      <c r="J35" s="44"/>
      <c r="K35" s="44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2" t="s">
        <v>17</v>
      </c>
      <c r="B36" s="56"/>
      <c r="C36" s="57"/>
      <c r="D36" s="57"/>
      <c r="E36" s="51" t="str">
        <f t="shared" si="2"/>
        <v>#DIV/0!</v>
      </c>
      <c r="F36" s="58"/>
      <c r="G36" s="58"/>
      <c r="H36" s="12" t="s">
        <v>168</v>
      </c>
      <c r="I36" s="5" t="s">
        <v>183</v>
      </c>
      <c r="J36" s="44"/>
      <c r="K36" s="4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4">
    <mergeCell ref="A1:D1"/>
    <mergeCell ref="A4:D4"/>
    <mergeCell ref="A12:F12"/>
    <mergeCell ref="A25:B2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1.0"/>
    <col customWidth="1" min="3" max="3" width="39.0"/>
    <col customWidth="1" min="4" max="5" width="26.38"/>
    <col customWidth="1" min="6" max="6" width="15.25"/>
    <col customWidth="1" min="7" max="7" width="9.13"/>
    <col customWidth="1" min="13" max="13" width="28.25"/>
    <col customWidth="1" min="14" max="14" width="64.38"/>
  </cols>
  <sheetData>
    <row r="1">
      <c r="A1" s="2" t="s">
        <v>0</v>
      </c>
      <c r="B1" s="2" t="s">
        <v>4</v>
      </c>
      <c r="C1" s="2" t="s">
        <v>7</v>
      </c>
      <c r="D1" s="2" t="s">
        <v>10</v>
      </c>
      <c r="E1" s="2" t="s">
        <v>12</v>
      </c>
      <c r="F1" s="2" t="s">
        <v>14</v>
      </c>
      <c r="G1" s="2" t="s">
        <v>16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25</v>
      </c>
      <c r="N1" s="2" t="s">
        <v>26</v>
      </c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</row>
    <row r="2">
      <c r="A2" s="11" t="s">
        <v>8</v>
      </c>
      <c r="B2" s="11" t="s">
        <v>27</v>
      </c>
      <c r="C2" s="25" t="s">
        <v>28</v>
      </c>
      <c r="D2" s="26">
        <v>46315.0</v>
      </c>
      <c r="E2" s="26">
        <v>41974.0</v>
      </c>
      <c r="F2" s="26">
        <v>44927.0</v>
      </c>
      <c r="G2" s="11" t="s">
        <v>67</v>
      </c>
      <c r="H2" s="27" t="b">
        <v>0</v>
      </c>
      <c r="I2" s="27" t="b">
        <v>1</v>
      </c>
      <c r="J2" s="11" t="s">
        <v>68</v>
      </c>
      <c r="K2" s="11" t="s">
        <v>69</v>
      </c>
      <c r="L2" s="11" t="s">
        <v>70</v>
      </c>
      <c r="M2" s="11" t="s">
        <v>71</v>
      </c>
      <c r="N2" s="11" t="s">
        <v>72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" t="s">
        <v>5</v>
      </c>
      <c r="B3" s="11" t="s">
        <v>27</v>
      </c>
      <c r="C3" s="29" t="s">
        <v>73</v>
      </c>
      <c r="D3" s="26">
        <v>46315.0</v>
      </c>
      <c r="E3" s="26">
        <v>41974.0</v>
      </c>
      <c r="F3" s="26">
        <v>44927.0</v>
      </c>
      <c r="G3" s="11" t="s">
        <v>67</v>
      </c>
      <c r="H3" s="27" t="b">
        <v>0</v>
      </c>
      <c r="I3" s="27" t="b">
        <v>1</v>
      </c>
      <c r="J3" s="11" t="s">
        <v>68</v>
      </c>
      <c r="K3" s="11" t="s">
        <v>69</v>
      </c>
      <c r="L3" s="11" t="s">
        <v>70</v>
      </c>
      <c r="M3" s="11" t="s">
        <v>71</v>
      </c>
      <c r="N3" s="11" t="s">
        <v>72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1" t="s">
        <v>13</v>
      </c>
      <c r="B4" s="11" t="s">
        <v>27</v>
      </c>
      <c r="C4" s="29" t="s">
        <v>85</v>
      </c>
      <c r="D4" s="26">
        <v>46315.0</v>
      </c>
      <c r="E4" s="26">
        <v>41974.0</v>
      </c>
      <c r="F4" s="26">
        <v>44927.0</v>
      </c>
      <c r="G4" s="11" t="s">
        <v>67</v>
      </c>
      <c r="H4" s="27" t="b">
        <v>0</v>
      </c>
      <c r="I4" s="27" t="b">
        <v>1</v>
      </c>
      <c r="J4" s="11" t="s">
        <v>68</v>
      </c>
      <c r="K4" s="11" t="s">
        <v>69</v>
      </c>
      <c r="L4" s="11" t="s">
        <v>70</v>
      </c>
      <c r="M4" s="11" t="s">
        <v>71</v>
      </c>
      <c r="N4" s="11" t="s">
        <v>72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1" t="s">
        <v>6</v>
      </c>
      <c r="B5" s="11" t="s">
        <v>27</v>
      </c>
      <c r="C5" s="29" t="s">
        <v>91</v>
      </c>
      <c r="D5" s="26">
        <v>46315.0</v>
      </c>
      <c r="E5" s="26">
        <v>41974.0</v>
      </c>
      <c r="F5" s="26">
        <v>44927.0</v>
      </c>
      <c r="G5" s="11" t="s">
        <v>67</v>
      </c>
      <c r="H5" s="27" t="b">
        <v>0</v>
      </c>
      <c r="I5" s="27" t="b">
        <v>1</v>
      </c>
      <c r="J5" s="11" t="s">
        <v>68</v>
      </c>
      <c r="K5" s="11" t="s">
        <v>69</v>
      </c>
      <c r="L5" s="11" t="s">
        <v>70</v>
      </c>
      <c r="M5" s="11" t="s">
        <v>71</v>
      </c>
      <c r="N5" s="11" t="s">
        <v>72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1" t="s">
        <v>11</v>
      </c>
      <c r="B6" s="11" t="s">
        <v>27</v>
      </c>
      <c r="C6" s="29" t="s">
        <v>98</v>
      </c>
      <c r="D6" s="26">
        <v>46315.0</v>
      </c>
      <c r="E6" s="26">
        <v>41974.0</v>
      </c>
      <c r="F6" s="26">
        <v>44927.0</v>
      </c>
      <c r="G6" s="11" t="s">
        <v>67</v>
      </c>
      <c r="H6" s="27" t="b">
        <v>0</v>
      </c>
      <c r="I6" s="27" t="b">
        <v>1</v>
      </c>
      <c r="J6" s="11" t="s">
        <v>68</v>
      </c>
      <c r="K6" s="11" t="s">
        <v>69</v>
      </c>
      <c r="L6" s="11" t="s">
        <v>70</v>
      </c>
      <c r="M6" s="11" t="s">
        <v>71</v>
      </c>
      <c r="N6" s="11" t="s">
        <v>72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1" t="s">
        <v>18</v>
      </c>
      <c r="B7" s="11" t="s">
        <v>27</v>
      </c>
      <c r="C7" s="29" t="s">
        <v>105</v>
      </c>
      <c r="D7" s="26">
        <v>46315.0</v>
      </c>
      <c r="E7" s="26">
        <v>41974.0</v>
      </c>
      <c r="F7" s="26">
        <v>44927.0</v>
      </c>
      <c r="G7" s="11" t="s">
        <v>67</v>
      </c>
      <c r="H7" s="27" t="b">
        <v>0</v>
      </c>
      <c r="I7" s="27" t="b">
        <v>1</v>
      </c>
      <c r="J7" s="11" t="s">
        <v>68</v>
      </c>
      <c r="K7" s="11" t="s">
        <v>69</v>
      </c>
      <c r="L7" s="11" t="s">
        <v>70</v>
      </c>
      <c r="M7" s="11" t="s">
        <v>71</v>
      </c>
      <c r="N7" s="11" t="s">
        <v>72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1" t="s">
        <v>3</v>
      </c>
      <c r="B8" s="11" t="s">
        <v>27</v>
      </c>
      <c r="C8" s="29" t="s">
        <v>113</v>
      </c>
      <c r="D8" s="26">
        <v>46315.0</v>
      </c>
      <c r="E8" s="26">
        <v>41974.0</v>
      </c>
      <c r="F8" s="26">
        <v>44927.0</v>
      </c>
      <c r="G8" s="11" t="s">
        <v>67</v>
      </c>
      <c r="H8" s="27" t="b">
        <v>0</v>
      </c>
      <c r="I8" s="27" t="b">
        <v>1</v>
      </c>
      <c r="J8" s="11" t="s">
        <v>68</v>
      </c>
      <c r="K8" s="11" t="s">
        <v>69</v>
      </c>
      <c r="L8" s="11" t="s">
        <v>70</v>
      </c>
      <c r="M8" s="11" t="s">
        <v>71</v>
      </c>
      <c r="N8" s="11" t="s">
        <v>72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1" t="s">
        <v>9</v>
      </c>
      <c r="B9" s="11" t="s">
        <v>27</v>
      </c>
      <c r="C9" s="29" t="s">
        <v>123</v>
      </c>
      <c r="D9" s="26">
        <v>46315.0</v>
      </c>
      <c r="E9" s="26">
        <v>41974.0</v>
      </c>
      <c r="F9" s="26">
        <v>44927.0</v>
      </c>
      <c r="G9" s="11" t="s">
        <v>67</v>
      </c>
      <c r="H9" s="27" t="b">
        <v>0</v>
      </c>
      <c r="I9" s="27" t="b">
        <v>1</v>
      </c>
      <c r="J9" s="11" t="s">
        <v>68</v>
      </c>
      <c r="K9" s="11" t="s">
        <v>69</v>
      </c>
      <c r="L9" s="11" t="s">
        <v>70</v>
      </c>
      <c r="M9" s="11" t="s">
        <v>71</v>
      </c>
      <c r="N9" s="11" t="s">
        <v>72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1" t="s">
        <v>15</v>
      </c>
      <c r="B10" s="11" t="s">
        <v>27</v>
      </c>
      <c r="C10" s="29" t="s">
        <v>128</v>
      </c>
      <c r="D10" s="26">
        <v>46315.0</v>
      </c>
      <c r="E10" s="26">
        <v>41974.0</v>
      </c>
      <c r="F10" s="26">
        <v>44927.0</v>
      </c>
      <c r="G10" s="11" t="s">
        <v>67</v>
      </c>
      <c r="H10" s="27" t="b">
        <v>0</v>
      </c>
      <c r="I10" s="27" t="b">
        <v>1</v>
      </c>
      <c r="J10" s="11" t="s">
        <v>68</v>
      </c>
      <c r="K10" s="11" t="s">
        <v>69</v>
      </c>
      <c r="L10" s="11" t="s">
        <v>70</v>
      </c>
      <c r="M10" s="11" t="s">
        <v>71</v>
      </c>
      <c r="N10" s="11" t="s">
        <v>72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1" t="s">
        <v>17</v>
      </c>
      <c r="B11" s="11" t="s">
        <v>27</v>
      </c>
      <c r="C11" s="29" t="s">
        <v>136</v>
      </c>
      <c r="D11" s="26">
        <v>46315.0</v>
      </c>
      <c r="E11" s="26">
        <v>41974.0</v>
      </c>
      <c r="F11" s="26">
        <v>44927.0</v>
      </c>
      <c r="G11" s="11" t="s">
        <v>67</v>
      </c>
      <c r="H11" s="27" t="b">
        <v>0</v>
      </c>
      <c r="I11" s="27" t="b">
        <v>1</v>
      </c>
      <c r="J11" s="11" t="s">
        <v>68</v>
      </c>
      <c r="K11" s="11" t="s">
        <v>69</v>
      </c>
      <c r="L11" s="11" t="s">
        <v>70</v>
      </c>
      <c r="M11" s="11" t="s">
        <v>71</v>
      </c>
      <c r="N11" s="11" t="s">
        <v>72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6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43" t="s">
        <v>142</v>
      </c>
      <c r="B14" s="43" t="s">
        <v>145</v>
      </c>
      <c r="C14" s="43" t="s">
        <v>147</v>
      </c>
      <c r="D14" s="43" t="s">
        <v>149</v>
      </c>
      <c r="E14" s="43" t="s">
        <v>150</v>
      </c>
      <c r="F14" s="43" t="s">
        <v>151</v>
      </c>
      <c r="G14" s="43" t="s">
        <v>153</v>
      </c>
      <c r="H14" s="43" t="s">
        <v>154</v>
      </c>
      <c r="I14" s="43" t="s">
        <v>155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45" t="s">
        <v>156</v>
      </c>
      <c r="B15" s="46" t="s">
        <v>157</v>
      </c>
      <c r="C15" s="45" t="s">
        <v>158</v>
      </c>
      <c r="D15" s="46" t="s">
        <v>159</v>
      </c>
      <c r="E15" s="48" t="s">
        <v>160</v>
      </c>
      <c r="F15" s="46">
        <v>96.0</v>
      </c>
      <c r="G15" s="46" t="s">
        <v>161</v>
      </c>
      <c r="H15" s="35"/>
      <c r="I15" s="46" t="s">
        <v>162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45" t="s">
        <v>163</v>
      </c>
      <c r="B16" s="35" t="s">
        <v>164</v>
      </c>
      <c r="C16" s="45" t="s">
        <v>158</v>
      </c>
      <c r="D16" s="35" t="s">
        <v>165</v>
      </c>
      <c r="E16" s="48" t="s">
        <v>166</v>
      </c>
      <c r="F16" s="35">
        <v>96.0</v>
      </c>
      <c r="G16" s="35" t="s">
        <v>161</v>
      </c>
      <c r="H16" s="35"/>
      <c r="I16" s="35" t="s">
        <v>167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2.88"/>
  </cols>
  <sheetData>
    <row r="1" ht="22.5" customHeight="1">
      <c r="A1" s="55" t="s">
        <v>1</v>
      </c>
      <c r="B1" s="55" t="s">
        <v>175</v>
      </c>
      <c r="C1" s="55" t="s">
        <v>177</v>
      </c>
      <c r="D1" s="55" t="s">
        <v>5</v>
      </c>
      <c r="E1" s="55" t="s">
        <v>6</v>
      </c>
      <c r="F1" s="55" t="s">
        <v>179</v>
      </c>
      <c r="G1" s="55" t="s">
        <v>8</v>
      </c>
      <c r="H1" s="55" t="s">
        <v>180</v>
      </c>
      <c r="I1" s="55" t="s">
        <v>11</v>
      </c>
      <c r="J1" s="55" t="s">
        <v>181</v>
      </c>
      <c r="K1" s="55" t="s">
        <v>182</v>
      </c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22.5" customHeight="1">
      <c r="A2" s="60">
        <v>42036.0</v>
      </c>
      <c r="B2" s="61">
        <v>0.100777</v>
      </c>
      <c r="C2" s="61">
        <v>0.043564</v>
      </c>
      <c r="D2" s="61">
        <v>0.030833</v>
      </c>
      <c r="E2" s="61">
        <v>0.126885</v>
      </c>
      <c r="F2" s="61">
        <v>0.051737</v>
      </c>
      <c r="G2" s="61">
        <v>0.09312</v>
      </c>
      <c r="H2" s="61">
        <v>0.107929</v>
      </c>
      <c r="I2" s="61">
        <v>0.009965</v>
      </c>
      <c r="J2" s="61">
        <v>0.072206</v>
      </c>
      <c r="K2" s="61">
        <v>0.056205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22.5" customHeight="1">
      <c r="A3" s="60">
        <v>42064.0</v>
      </c>
      <c r="B3" s="61">
        <v>-0.03137</v>
      </c>
      <c r="C3" s="61">
        <v>-0.02352</v>
      </c>
      <c r="D3" s="61">
        <v>-0.01863</v>
      </c>
      <c r="E3" s="61">
        <v>-0.01142</v>
      </c>
      <c r="F3" s="61">
        <v>-0.05574</v>
      </c>
      <c r="G3" s="61">
        <v>-0.07275</v>
      </c>
      <c r="H3" s="61">
        <v>0.013694</v>
      </c>
      <c r="I3" s="61">
        <v>-0.03747</v>
      </c>
      <c r="J3" s="61">
        <v>-0.02359</v>
      </c>
      <c r="K3" s="61">
        <v>-0.01571</v>
      </c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ht="22.5" customHeight="1">
      <c r="A4" s="60">
        <v>42095.0</v>
      </c>
      <c r="B4" s="61">
        <v>0.005787</v>
      </c>
      <c r="C4" s="61">
        <v>0.035087</v>
      </c>
      <c r="D4" s="61">
        <v>-0.01392</v>
      </c>
      <c r="E4" s="61">
        <v>0.05118</v>
      </c>
      <c r="F4" s="61">
        <v>2.47E-4</v>
      </c>
      <c r="G4" s="61">
        <v>0.196261</v>
      </c>
      <c r="H4" s="61">
        <v>-0.02472</v>
      </c>
      <c r="I4" s="61">
        <v>-0.02185</v>
      </c>
      <c r="J4" s="61">
        <v>0.019223</v>
      </c>
      <c r="K4" s="61">
        <v>0.009834</v>
      </c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22.5" customHeight="1">
      <c r="A5" s="60">
        <v>42125.0</v>
      </c>
      <c r="B5" s="61">
        <v>0.045339</v>
      </c>
      <c r="C5" s="61">
        <v>0.035782</v>
      </c>
      <c r="D5" s="61">
        <v>0.016838</v>
      </c>
      <c r="E5" s="61">
        <v>0.039835</v>
      </c>
      <c r="F5" s="61">
        <v>0.009862</v>
      </c>
      <c r="G5" s="61">
        <v>-0.03033</v>
      </c>
      <c r="H5" s="61">
        <v>0.032642</v>
      </c>
      <c r="I5" s="61">
        <v>-0.01409</v>
      </c>
      <c r="J5" s="61">
        <v>0.022485</v>
      </c>
      <c r="K5" s="61">
        <v>0.012856</v>
      </c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ht="22.5" customHeight="1">
      <c r="A6" s="60">
        <v>42156.0</v>
      </c>
      <c r="B6" s="61">
        <v>-0.03723</v>
      </c>
      <c r="C6" s="61">
        <v>0.034609</v>
      </c>
      <c r="D6" s="61">
        <v>-0.02676</v>
      </c>
      <c r="E6" s="61">
        <v>0.0301</v>
      </c>
      <c r="F6" s="61">
        <v>-0.03433</v>
      </c>
      <c r="G6" s="61">
        <v>-0.05783</v>
      </c>
      <c r="H6" s="61">
        <v>-0.03511</v>
      </c>
      <c r="I6" s="61">
        <v>-0.00191</v>
      </c>
      <c r="J6" s="61">
        <v>-0.02484</v>
      </c>
      <c r="K6" s="61">
        <v>-0.02031</v>
      </c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ht="22.5" customHeight="1">
      <c r="A7" s="60">
        <v>42186.0</v>
      </c>
      <c r="B7" s="61">
        <v>-0.03293</v>
      </c>
      <c r="C7" s="61">
        <v>0.050529</v>
      </c>
      <c r="D7" s="61">
        <v>0.028217</v>
      </c>
      <c r="E7" s="61">
        <v>0.017974</v>
      </c>
      <c r="F7" s="61">
        <v>0.047158</v>
      </c>
      <c r="G7" s="61">
        <v>0.057758</v>
      </c>
      <c r="H7" s="61">
        <v>0.075455</v>
      </c>
      <c r="I7" s="61">
        <v>-0.01166</v>
      </c>
      <c r="J7" s="61">
        <v>0.045578</v>
      </c>
      <c r="K7" s="61">
        <v>0.022589</v>
      </c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ht="22.5" customHeight="1">
      <c r="A8" s="60">
        <v>42217.0</v>
      </c>
      <c r="B8" s="61">
        <v>-0.0662</v>
      </c>
      <c r="C8" s="61">
        <v>-0.08613</v>
      </c>
      <c r="D8" s="61">
        <v>-0.055</v>
      </c>
      <c r="E8" s="61">
        <v>-0.06464</v>
      </c>
      <c r="F8" s="61">
        <v>-0.04284</v>
      </c>
      <c r="G8" s="61">
        <v>-0.06195</v>
      </c>
      <c r="H8" s="61">
        <v>-0.09951</v>
      </c>
      <c r="I8" s="61">
        <v>-0.07862</v>
      </c>
      <c r="J8" s="61">
        <v>-0.06824</v>
      </c>
      <c r="K8" s="61">
        <v>-0.06095</v>
      </c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ht="22.5" customHeight="1">
      <c r="A9" s="60">
        <v>42248.0</v>
      </c>
      <c r="B9" s="61">
        <v>-0.02182</v>
      </c>
      <c r="C9" s="61">
        <v>-0.04344</v>
      </c>
      <c r="D9" s="61">
        <v>-0.0067</v>
      </c>
      <c r="E9" s="61">
        <v>-0.04883</v>
      </c>
      <c r="F9" s="61">
        <v>0.029185</v>
      </c>
      <c r="G9" s="61">
        <v>0.017004</v>
      </c>
      <c r="H9" s="61">
        <v>-0.02514</v>
      </c>
      <c r="I9" s="61">
        <v>0.017971</v>
      </c>
      <c r="J9" s="61">
        <v>-0.02207</v>
      </c>
      <c r="K9" s="61">
        <v>-0.02552</v>
      </c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ht="22.5" customHeight="1">
      <c r="A10" s="60">
        <v>42278.0</v>
      </c>
      <c r="B10" s="61">
        <v>0.083409</v>
      </c>
      <c r="C10" s="61">
        <v>0.077022</v>
      </c>
      <c r="D10" s="61">
        <v>0.082271</v>
      </c>
      <c r="E10" s="61">
        <v>0.0614</v>
      </c>
      <c r="F10" s="61">
        <v>0.055584</v>
      </c>
      <c r="G10" s="61">
        <v>0.189336</v>
      </c>
      <c r="H10" s="61">
        <v>0.076728</v>
      </c>
      <c r="I10" s="61">
        <v>0.07126</v>
      </c>
      <c r="J10" s="61">
        <v>0.113699</v>
      </c>
      <c r="K10" s="61">
        <v>0.08506</v>
      </c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ht="22.5" customHeight="1">
      <c r="A11" s="60">
        <v>42309.0</v>
      </c>
      <c r="B11" s="61">
        <v>-0.0058</v>
      </c>
      <c r="C11" s="61">
        <v>0.038737</v>
      </c>
      <c r="D11" s="61">
        <v>0.009466</v>
      </c>
      <c r="E11" s="61">
        <v>0.037821</v>
      </c>
      <c r="F11" s="61">
        <v>0.014093</v>
      </c>
      <c r="G11" s="61">
        <v>0.039444</v>
      </c>
      <c r="H11" s="61">
        <v>-0.02323</v>
      </c>
      <c r="I11" s="61">
        <v>-0.02016</v>
      </c>
      <c r="J11" s="61">
        <v>0.006088</v>
      </c>
      <c r="K11" s="61">
        <v>0.003655</v>
      </c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ht="22.5" customHeight="1">
      <c r="A12" s="60">
        <v>42339.0</v>
      </c>
      <c r="B12" s="61">
        <v>-0.11023</v>
      </c>
      <c r="C12" s="61">
        <v>-0.03171</v>
      </c>
      <c r="D12" s="61">
        <v>0.014619</v>
      </c>
      <c r="E12" s="61">
        <v>-0.00975</v>
      </c>
      <c r="F12" s="61">
        <v>0.007977</v>
      </c>
      <c r="G12" s="61">
        <v>0.020791</v>
      </c>
      <c r="H12" s="61">
        <v>-0.01495</v>
      </c>
      <c r="I12" s="61">
        <v>0.061064</v>
      </c>
      <c r="J12" s="61">
        <v>-0.01595</v>
      </c>
      <c r="K12" s="61">
        <v>-0.01728</v>
      </c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ht="22.5" customHeight="1">
      <c r="A13" s="60">
        <v>42370.0</v>
      </c>
      <c r="B13" s="61">
        <v>-0.07524</v>
      </c>
      <c r="C13" s="61">
        <v>-0.15983</v>
      </c>
      <c r="D13" s="61">
        <v>0.016745</v>
      </c>
      <c r="E13" s="61">
        <v>-0.09285</v>
      </c>
      <c r="F13" s="61">
        <v>-9.3E-4</v>
      </c>
      <c r="G13" s="61">
        <v>-0.00703</v>
      </c>
      <c r="H13" s="61">
        <v>-0.05545</v>
      </c>
      <c r="I13" s="61">
        <v>0.037678</v>
      </c>
      <c r="J13" s="61">
        <v>-0.0691</v>
      </c>
      <c r="K13" s="61">
        <v>-0.04979</v>
      </c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ht="22.5" customHeight="1">
      <c r="A14" s="60">
        <v>42401.0</v>
      </c>
      <c r="B14" s="61">
        <v>-0.00129</v>
      </c>
      <c r="C14" s="61">
        <v>-0.11457</v>
      </c>
      <c r="D14" s="61">
        <v>0.014673</v>
      </c>
      <c r="E14" s="61">
        <v>-0.05378</v>
      </c>
      <c r="F14" s="61">
        <v>0.004893</v>
      </c>
      <c r="G14" s="61">
        <v>-0.06979</v>
      </c>
      <c r="H14" s="61">
        <v>-0.01711</v>
      </c>
      <c r="I14" s="61">
        <v>-0.01714</v>
      </c>
      <c r="J14" s="61">
        <v>-0.01565</v>
      </c>
      <c r="K14" s="61">
        <v>-8.3E-4</v>
      </c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ht="22.5" customHeight="1">
      <c r="A15" s="60">
        <v>42430.0</v>
      </c>
      <c r="B15" s="61">
        <v>0.127211</v>
      </c>
      <c r="C15" s="61">
        <v>0.083981</v>
      </c>
      <c r="D15" s="61">
        <v>0.02842</v>
      </c>
      <c r="E15" s="61">
        <v>0.051865</v>
      </c>
      <c r="F15" s="61">
        <v>0.083973</v>
      </c>
      <c r="G15" s="61">
        <v>0.085495</v>
      </c>
      <c r="H15" s="61">
        <v>-0.00101</v>
      </c>
      <c r="I15" s="61">
        <v>0.025159</v>
      </c>
      <c r="J15" s="61">
        <v>0.068526</v>
      </c>
      <c r="K15" s="61">
        <v>0.067266</v>
      </c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ht="22.5" customHeight="1">
      <c r="A16" s="60">
        <v>42461.0</v>
      </c>
      <c r="B16" s="61">
        <v>-0.13992</v>
      </c>
      <c r="C16" s="61">
        <v>0.076923</v>
      </c>
      <c r="D16" s="61">
        <v>0.035859</v>
      </c>
      <c r="E16" s="61">
        <v>0.075108</v>
      </c>
      <c r="F16" s="61">
        <v>-0.03427</v>
      </c>
      <c r="G16" s="61">
        <v>-0.09705</v>
      </c>
      <c r="H16" s="61">
        <v>0.103576</v>
      </c>
      <c r="I16" s="61">
        <v>-0.01863</v>
      </c>
      <c r="J16" s="61">
        <v>-0.03187</v>
      </c>
      <c r="K16" s="61">
        <v>0.003941</v>
      </c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ht="22.5" customHeight="1">
      <c r="A17" s="60">
        <v>42491.0</v>
      </c>
      <c r="B17" s="61">
        <v>0.071773</v>
      </c>
      <c r="C17" s="61">
        <v>0.015797</v>
      </c>
      <c r="D17" s="61">
        <v>0.012621</v>
      </c>
      <c r="E17" s="61">
        <v>0.032753</v>
      </c>
      <c r="F17" s="61">
        <v>-0.00446</v>
      </c>
      <c r="G17" s="61">
        <v>0.070196</v>
      </c>
      <c r="H17" s="61">
        <v>0.070337</v>
      </c>
      <c r="I17" s="61">
        <v>0.011483</v>
      </c>
      <c r="J17" s="61">
        <v>0.0437</v>
      </c>
      <c r="K17" s="61">
        <v>0.017012</v>
      </c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22.5" customHeight="1">
      <c r="A18" s="60">
        <v>42522.0</v>
      </c>
      <c r="B18" s="61">
        <v>-0.04266</v>
      </c>
      <c r="C18" s="61">
        <v>-0.09973</v>
      </c>
      <c r="D18" s="61">
        <v>0.076404</v>
      </c>
      <c r="E18" s="61">
        <v>-0.04795</v>
      </c>
      <c r="F18" s="61">
        <v>0.024162</v>
      </c>
      <c r="G18" s="61">
        <v>-0.03453</v>
      </c>
      <c r="H18" s="61">
        <v>0.014698</v>
      </c>
      <c r="I18" s="61">
        <v>0.044793</v>
      </c>
      <c r="J18" s="61">
        <v>-0.02278</v>
      </c>
      <c r="K18" s="61">
        <v>0.003476</v>
      </c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22.5" customHeight="1">
      <c r="A19" s="60">
        <v>42552.0</v>
      </c>
      <c r="B19" s="61">
        <v>0.090062</v>
      </c>
      <c r="C19" s="61">
        <v>0.091936</v>
      </c>
      <c r="D19" s="61">
        <v>0.032399</v>
      </c>
      <c r="E19" s="61">
        <v>0.037463</v>
      </c>
      <c r="F19" s="61">
        <v>-0.0375</v>
      </c>
      <c r="G19" s="61">
        <v>0.107681</v>
      </c>
      <c r="H19" s="61">
        <v>0.047714</v>
      </c>
      <c r="I19" s="61">
        <v>0.018787</v>
      </c>
      <c r="J19" s="61">
        <v>0.071508</v>
      </c>
      <c r="K19" s="61">
        <v>0.036471</v>
      </c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22.5" customHeight="1">
      <c r="A20" s="60">
        <v>42583.0</v>
      </c>
      <c r="B20" s="61">
        <v>0.023652</v>
      </c>
      <c r="C20" s="61">
        <v>0.119056</v>
      </c>
      <c r="D20" s="61">
        <v>-0.04068</v>
      </c>
      <c r="E20" s="61">
        <v>0.055182</v>
      </c>
      <c r="F20" s="61">
        <v>-0.00458</v>
      </c>
      <c r="G20" s="61">
        <v>0.02008</v>
      </c>
      <c r="H20" s="61">
        <v>-0.04881</v>
      </c>
      <c r="I20" s="61">
        <v>0.020096</v>
      </c>
      <c r="J20" s="61">
        <v>0.010501</v>
      </c>
      <c r="K20" s="61">
        <v>0.001197</v>
      </c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22.5" customHeight="1">
      <c r="A21" s="60">
        <v>42614.0</v>
      </c>
      <c r="B21" s="61">
        <v>0.065504</v>
      </c>
      <c r="C21" s="61">
        <v>-0.03036</v>
      </c>
      <c r="D21" s="61">
        <v>-0.01014</v>
      </c>
      <c r="E21" s="61">
        <v>-0.01348</v>
      </c>
      <c r="F21" s="61">
        <v>-0.0176</v>
      </c>
      <c r="G21" s="61">
        <v>0.002436</v>
      </c>
      <c r="H21" s="61">
        <v>-0.02672</v>
      </c>
      <c r="I21" s="61">
        <v>0.027947</v>
      </c>
      <c r="J21" s="61">
        <v>0.022135</v>
      </c>
      <c r="K21" s="61">
        <v>5.8E-5</v>
      </c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22.5" customHeight="1">
      <c r="A22" s="60">
        <v>42644.0</v>
      </c>
      <c r="B22" s="61">
        <v>0.004335</v>
      </c>
      <c r="C22" s="61">
        <v>0.054313</v>
      </c>
      <c r="D22" s="61">
        <v>-0.01812</v>
      </c>
      <c r="E22" s="61">
        <v>0.047657</v>
      </c>
      <c r="F22" s="61">
        <v>0.001891</v>
      </c>
      <c r="G22" s="61">
        <v>0.040278</v>
      </c>
      <c r="H22" s="61">
        <v>-0.06377</v>
      </c>
      <c r="I22" s="61">
        <v>-0.0254</v>
      </c>
      <c r="J22" s="61">
        <v>-0.01457</v>
      </c>
      <c r="K22" s="61">
        <v>-0.01734</v>
      </c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22.5" customHeight="1">
      <c r="A23" s="60">
        <v>42675.0</v>
      </c>
      <c r="B23" s="61">
        <v>-0.0216</v>
      </c>
      <c r="C23" s="61">
        <v>0.284749</v>
      </c>
      <c r="D23" s="61">
        <v>-0.0338</v>
      </c>
      <c r="E23" s="61">
        <v>0.157523</v>
      </c>
      <c r="F23" s="61">
        <v>-0.0403</v>
      </c>
      <c r="G23" s="61">
        <v>0.012468</v>
      </c>
      <c r="H23" s="61">
        <v>0.023669</v>
      </c>
      <c r="I23" s="61">
        <v>-0.05</v>
      </c>
      <c r="J23" s="61">
        <v>0.004359</v>
      </c>
      <c r="K23" s="61">
        <v>0.036838</v>
      </c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22.5" customHeight="1">
      <c r="A24" s="60">
        <v>42705.0</v>
      </c>
      <c r="B24" s="61">
        <v>0.047955</v>
      </c>
      <c r="C24" s="61">
        <v>0.046401</v>
      </c>
      <c r="D24" s="61">
        <v>0.035131</v>
      </c>
      <c r="E24" s="61">
        <v>0.076338</v>
      </c>
      <c r="F24" s="61">
        <v>0.02751</v>
      </c>
      <c r="G24" s="61">
        <v>0.031199</v>
      </c>
      <c r="H24" s="61">
        <v>0.010579</v>
      </c>
      <c r="I24" s="61">
        <v>0.019646</v>
      </c>
      <c r="J24" s="61">
        <v>0.011323</v>
      </c>
      <c r="K24" s="61">
        <v>0.020272</v>
      </c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22.5" customHeight="1">
      <c r="A25" s="60">
        <v>42736.0</v>
      </c>
      <c r="B25" s="61">
        <v>0.047747</v>
      </c>
      <c r="C25" s="61">
        <v>0.024435</v>
      </c>
      <c r="D25" s="61">
        <v>-0.01701</v>
      </c>
      <c r="E25" s="61">
        <v>-0.01381</v>
      </c>
      <c r="F25" s="61">
        <v>0.002653</v>
      </c>
      <c r="G25" s="61">
        <v>0.040392</v>
      </c>
      <c r="H25" s="61">
        <v>-0.02309</v>
      </c>
      <c r="I25" s="61">
        <v>0.050122</v>
      </c>
      <c r="J25" s="61">
        <v>0.051401</v>
      </c>
      <c r="K25" s="61">
        <v>0.017895</v>
      </c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22.5" customHeight="1">
      <c r="A26" s="60">
        <v>42767.0</v>
      </c>
      <c r="B26" s="61">
        <v>0.133778</v>
      </c>
      <c r="C26" s="61">
        <v>0.090106</v>
      </c>
      <c r="D26" s="61">
        <v>0.086258</v>
      </c>
      <c r="E26" s="61">
        <v>0.070779</v>
      </c>
      <c r="F26" s="61">
        <v>0.009382</v>
      </c>
      <c r="G26" s="61">
        <v>-0.00436</v>
      </c>
      <c r="H26" s="61">
        <v>0.086278</v>
      </c>
      <c r="I26" s="61">
        <v>0.039612</v>
      </c>
      <c r="J26" s="61">
        <v>0.043751</v>
      </c>
      <c r="K26" s="61">
        <v>0.039292</v>
      </c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22.5" customHeight="1">
      <c r="A27" s="60">
        <v>42795.0</v>
      </c>
      <c r="B27" s="61">
        <v>0.048689</v>
      </c>
      <c r="C27" s="61">
        <v>-0.04125</v>
      </c>
      <c r="D27" s="61">
        <v>0.019147</v>
      </c>
      <c r="E27" s="61">
        <v>-0.03068</v>
      </c>
      <c r="F27" s="61">
        <v>0.020367</v>
      </c>
      <c r="G27" s="61">
        <v>0.029384</v>
      </c>
      <c r="H27" s="61">
        <v>0.002637</v>
      </c>
      <c r="I27" s="61">
        <v>-0.0134</v>
      </c>
      <c r="J27" s="61">
        <v>0.020269</v>
      </c>
      <c r="K27" s="61">
        <v>0.00125</v>
      </c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22.5" customHeight="1">
      <c r="A28" s="60">
        <v>42826.0</v>
      </c>
      <c r="B28" s="61">
        <v>-6.96E-5</v>
      </c>
      <c r="C28" s="61">
        <v>-0.0106</v>
      </c>
      <c r="D28" s="61">
        <v>-0.00867</v>
      </c>
      <c r="E28" s="61">
        <v>-0.00387</v>
      </c>
      <c r="F28" s="61">
        <v>0.016729</v>
      </c>
      <c r="G28" s="61">
        <v>0.039478</v>
      </c>
      <c r="H28" s="61">
        <v>-0.00848</v>
      </c>
      <c r="I28" s="61">
        <v>-0.0206</v>
      </c>
      <c r="J28" s="61">
        <v>0.02727</v>
      </c>
      <c r="K28" s="61">
        <v>0.009926</v>
      </c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22.5" customHeight="1">
      <c r="A29" s="60">
        <v>42856.0</v>
      </c>
      <c r="B29" s="61">
        <v>0.067807</v>
      </c>
      <c r="C29" s="61">
        <v>-0.03669</v>
      </c>
      <c r="D29" s="61">
        <v>0.045602</v>
      </c>
      <c r="E29" s="61">
        <v>-0.05575</v>
      </c>
      <c r="F29" s="61">
        <v>0.053766</v>
      </c>
      <c r="G29" s="61">
        <v>0.026006</v>
      </c>
      <c r="H29" s="61">
        <v>-0.02812</v>
      </c>
      <c r="I29" s="61">
        <v>0.008703</v>
      </c>
      <c r="J29" s="61">
        <v>0.038973</v>
      </c>
      <c r="K29" s="61">
        <v>0.014113</v>
      </c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22.5" customHeight="1">
      <c r="A30" s="60">
        <v>42887.0</v>
      </c>
      <c r="B30" s="61">
        <v>-0.05721</v>
      </c>
      <c r="C30" s="61">
        <v>0.082553</v>
      </c>
      <c r="D30" s="61">
        <v>0.031501</v>
      </c>
      <c r="E30" s="61">
        <v>0.112599</v>
      </c>
      <c r="F30" s="61">
        <v>-0.00552</v>
      </c>
      <c r="G30" s="61">
        <v>-0.01303</v>
      </c>
      <c r="H30" s="61">
        <v>0.02879</v>
      </c>
      <c r="I30" s="61">
        <v>-0.01067</v>
      </c>
      <c r="J30" s="61">
        <v>-0.02318</v>
      </c>
      <c r="K30" s="61">
        <v>0.006375</v>
      </c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22.5" customHeight="1">
      <c r="A31" s="60">
        <v>42917.0</v>
      </c>
      <c r="B31" s="61">
        <v>0.032704</v>
      </c>
      <c r="C31" s="61">
        <v>-0.00577</v>
      </c>
      <c r="D31" s="61">
        <v>0.00325</v>
      </c>
      <c r="E31" s="61">
        <v>0.009901</v>
      </c>
      <c r="F31" s="61">
        <v>0.022074</v>
      </c>
      <c r="G31" s="61">
        <v>0.054693</v>
      </c>
      <c r="H31" s="61">
        <v>-0.0128</v>
      </c>
      <c r="I31" s="61">
        <v>0.050287</v>
      </c>
      <c r="J31" s="61">
        <v>0.040613</v>
      </c>
      <c r="K31" s="61">
        <v>0.020554</v>
      </c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22.5" customHeight="1">
      <c r="A32" s="60">
        <v>42948.0</v>
      </c>
      <c r="B32" s="61">
        <v>0.106999</v>
      </c>
      <c r="C32" s="61">
        <v>-0.00447</v>
      </c>
      <c r="D32" s="61">
        <v>0.003707</v>
      </c>
      <c r="E32" s="61">
        <v>-0.00991</v>
      </c>
      <c r="F32" s="61">
        <v>-0.00633</v>
      </c>
      <c r="G32" s="61">
        <v>0.033952</v>
      </c>
      <c r="H32" s="61">
        <v>0.032911</v>
      </c>
      <c r="I32" s="61">
        <v>0.015966</v>
      </c>
      <c r="J32" s="61">
        <v>0.020736</v>
      </c>
      <c r="K32" s="61">
        <v>0.002918</v>
      </c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22.5" customHeight="1">
      <c r="A33" s="60">
        <v>42979.0</v>
      </c>
      <c r="B33" s="61">
        <v>-0.06024</v>
      </c>
      <c r="C33" s="61">
        <v>0.060695</v>
      </c>
      <c r="D33" s="61">
        <v>-0.01783</v>
      </c>
      <c r="E33" s="61">
        <v>0.050831</v>
      </c>
      <c r="F33" s="61">
        <v>-0.00399</v>
      </c>
      <c r="G33" s="61">
        <v>-0.00374</v>
      </c>
      <c r="H33" s="61">
        <v>0.052477</v>
      </c>
      <c r="I33" s="61">
        <v>-0.01398</v>
      </c>
      <c r="J33" s="61">
        <v>-0.00295</v>
      </c>
      <c r="K33" s="61">
        <v>0.020149</v>
      </c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22.5" customHeight="1">
      <c r="A34" s="60">
        <v>43009.0</v>
      </c>
      <c r="B34" s="61">
        <v>0.096807</v>
      </c>
      <c r="C34" s="61">
        <v>0.0809</v>
      </c>
      <c r="D34" s="61">
        <v>0.072302</v>
      </c>
      <c r="E34" s="61">
        <v>0.059555</v>
      </c>
      <c r="F34" s="61">
        <v>0.021551</v>
      </c>
      <c r="G34" s="61">
        <v>0.11666</v>
      </c>
      <c r="H34" s="61">
        <v>-0.01793</v>
      </c>
      <c r="I34" s="61">
        <v>-0.04389</v>
      </c>
      <c r="J34" s="61">
        <v>0.046064</v>
      </c>
      <c r="K34" s="61">
        <v>0.023564</v>
      </c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22.5" customHeight="1">
      <c r="A35" s="60">
        <v>43040.0</v>
      </c>
      <c r="B35" s="61">
        <v>0.020278</v>
      </c>
      <c r="C35" s="61">
        <v>0.03286</v>
      </c>
      <c r="D35" s="61">
        <v>0.005546</v>
      </c>
      <c r="E35" s="61">
        <v>0.038863</v>
      </c>
      <c r="F35" s="61">
        <v>0.003594</v>
      </c>
      <c r="G35" s="61">
        <v>0.016983</v>
      </c>
      <c r="H35" s="61">
        <v>0.043678</v>
      </c>
      <c r="I35" s="61">
        <v>0.042275</v>
      </c>
      <c r="J35" s="61">
        <v>0.019717</v>
      </c>
      <c r="K35" s="61">
        <v>0.030566</v>
      </c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22.5" customHeight="1">
      <c r="A36" s="60">
        <v>43070.0</v>
      </c>
      <c r="B36" s="61">
        <v>-0.01525</v>
      </c>
      <c r="C36" s="61">
        <v>0.047923</v>
      </c>
      <c r="D36" s="61">
        <v>0.002799</v>
      </c>
      <c r="E36" s="61">
        <v>0.023154</v>
      </c>
      <c r="F36" s="61">
        <v>0.002403</v>
      </c>
      <c r="G36" s="61">
        <v>0.016277</v>
      </c>
      <c r="H36" s="61">
        <v>-0.0011</v>
      </c>
      <c r="I36" s="61">
        <v>0.021002</v>
      </c>
      <c r="J36" s="61">
        <v>0.006031</v>
      </c>
      <c r="K36" s="61">
        <v>0.012128</v>
      </c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22.5" customHeight="1">
      <c r="A37" s="60">
        <v>43101.0</v>
      </c>
      <c r="B37" s="61">
        <v>-0.01064</v>
      </c>
      <c r="C37" s="61">
        <v>0.084011</v>
      </c>
      <c r="D37" s="61">
        <v>-0.01095</v>
      </c>
      <c r="E37" s="61">
        <v>0.087269</v>
      </c>
      <c r="F37" s="61">
        <v>0.037271</v>
      </c>
      <c r="G37" s="61">
        <v>0.110709</v>
      </c>
      <c r="H37" s="61">
        <v>0.022639</v>
      </c>
      <c r="I37" s="61">
        <v>-0.05313</v>
      </c>
      <c r="J37" s="61">
        <v>0.087571</v>
      </c>
      <c r="K37" s="61">
        <v>0.056359</v>
      </c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22.5" customHeight="1">
      <c r="A38" s="60">
        <v>43132.0</v>
      </c>
      <c r="B38" s="61">
        <v>0.068185</v>
      </c>
      <c r="C38" s="61">
        <v>0.003125</v>
      </c>
      <c r="D38" s="61">
        <v>-0.05412</v>
      </c>
      <c r="E38" s="61">
        <v>-0.00147</v>
      </c>
      <c r="F38" s="61">
        <v>-0.09183</v>
      </c>
      <c r="G38" s="61">
        <v>-0.00842</v>
      </c>
      <c r="H38" s="61">
        <v>-0.01063</v>
      </c>
      <c r="I38" s="61">
        <v>-0.09057</v>
      </c>
      <c r="J38" s="61">
        <v>-0.01293</v>
      </c>
      <c r="K38" s="61">
        <v>-0.03636</v>
      </c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22.5" customHeight="1">
      <c r="A39" s="60">
        <v>43160.0</v>
      </c>
      <c r="B39" s="61">
        <v>-0.05805</v>
      </c>
      <c r="C39" s="61">
        <v>-0.06223</v>
      </c>
      <c r="D39" s="61">
        <v>-0.01332</v>
      </c>
      <c r="E39" s="61">
        <v>-0.04788</v>
      </c>
      <c r="F39" s="61">
        <v>0.013729</v>
      </c>
      <c r="G39" s="61">
        <v>-0.02666</v>
      </c>
      <c r="H39" s="61">
        <v>-0.02258</v>
      </c>
      <c r="I39" s="61">
        <v>0.009679</v>
      </c>
      <c r="J39" s="61">
        <v>-0.04079</v>
      </c>
      <c r="K39" s="61">
        <v>-0.02741</v>
      </c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22.5" customHeight="1">
      <c r="A40" s="60">
        <v>43191.0</v>
      </c>
      <c r="B40" s="61">
        <v>-0.01502</v>
      </c>
      <c r="C40" s="61">
        <v>-0.00233</v>
      </c>
      <c r="D40" s="61">
        <v>-0.01295</v>
      </c>
      <c r="E40" s="61">
        <v>-0.00581</v>
      </c>
      <c r="F40" s="61">
        <v>-0.00507</v>
      </c>
      <c r="G40" s="61">
        <v>0.024652</v>
      </c>
      <c r="H40" s="61">
        <v>0.031558</v>
      </c>
      <c r="I40" s="61">
        <v>-0.07909</v>
      </c>
      <c r="J40" s="61">
        <v>0.005058</v>
      </c>
      <c r="K40" s="61">
        <v>0.005168</v>
      </c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22.5" customHeight="1">
      <c r="A41" s="60">
        <v>43221.0</v>
      </c>
      <c r="B41" s="61">
        <v>0.135124</v>
      </c>
      <c r="C41" s="61">
        <v>-0.02545</v>
      </c>
      <c r="D41" s="61">
        <v>-0.0473</v>
      </c>
      <c r="E41" s="61">
        <v>-0.01627</v>
      </c>
      <c r="F41" s="61">
        <v>-0.00486</v>
      </c>
      <c r="G41" s="61">
        <v>0.061468</v>
      </c>
      <c r="H41" s="61">
        <v>-0.00899</v>
      </c>
      <c r="I41" s="61">
        <v>0.011474</v>
      </c>
      <c r="J41" s="61">
        <v>0.05673</v>
      </c>
      <c r="K41" s="61">
        <v>0.024309</v>
      </c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22.5" customHeight="1">
      <c r="A42" s="60">
        <v>43252.0</v>
      </c>
      <c r="B42" s="61">
        <v>-0.00942</v>
      </c>
      <c r="C42" s="61">
        <v>-0.02927</v>
      </c>
      <c r="D42" s="61">
        <v>0.014379</v>
      </c>
      <c r="E42" s="61">
        <v>-0.02626</v>
      </c>
      <c r="F42" s="61">
        <v>0.029084</v>
      </c>
      <c r="G42" s="61">
        <v>-0.00233</v>
      </c>
      <c r="H42" s="61">
        <v>0.009741</v>
      </c>
      <c r="I42" s="61">
        <v>0.06683</v>
      </c>
      <c r="J42" s="61">
        <v>0.011451</v>
      </c>
      <c r="K42" s="61">
        <v>0.005751</v>
      </c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22.5" customHeight="1">
      <c r="A43" s="60">
        <v>43282.0</v>
      </c>
      <c r="B43" s="61">
        <v>0.027983</v>
      </c>
      <c r="C43" s="61">
        <v>0.095424</v>
      </c>
      <c r="D43" s="61">
        <v>0.092137</v>
      </c>
      <c r="E43" s="61">
        <v>0.109162</v>
      </c>
      <c r="F43" s="61">
        <v>0.063156</v>
      </c>
      <c r="G43" s="61">
        <v>0.075753</v>
      </c>
      <c r="H43" s="61">
        <v>0.100606</v>
      </c>
      <c r="I43" s="61">
        <v>0.04553</v>
      </c>
      <c r="J43" s="61">
        <v>0.027964</v>
      </c>
      <c r="K43" s="61">
        <v>0.037047</v>
      </c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22.5" customHeight="1">
      <c r="A44" s="60">
        <v>43313.0</v>
      </c>
      <c r="B44" s="61">
        <v>0.200423</v>
      </c>
      <c r="C44" s="61">
        <v>0.001619</v>
      </c>
      <c r="D44" s="61">
        <v>0.023148</v>
      </c>
      <c r="E44" s="61">
        <v>-0.00322</v>
      </c>
      <c r="F44" s="61">
        <v>-0.04418</v>
      </c>
      <c r="G44" s="61">
        <v>0.062993</v>
      </c>
      <c r="H44" s="61">
        <v>0.048674</v>
      </c>
      <c r="I44" s="61">
        <v>0.025593</v>
      </c>
      <c r="J44" s="61">
        <v>0.057807</v>
      </c>
      <c r="K44" s="61">
        <v>0.03192</v>
      </c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22.5" customHeight="1">
      <c r="A45" s="60">
        <v>43344.0</v>
      </c>
      <c r="B45" s="61">
        <v>-0.0083</v>
      </c>
      <c r="C45" s="61">
        <v>-0.04292</v>
      </c>
      <c r="D45" s="61">
        <v>0.025837</v>
      </c>
      <c r="E45" s="61">
        <v>-0.01519</v>
      </c>
      <c r="F45" s="61">
        <v>0.045163</v>
      </c>
      <c r="G45" s="61">
        <v>0.018161</v>
      </c>
      <c r="H45" s="61">
        <v>0.061416</v>
      </c>
      <c r="I45" s="61">
        <v>0.003376</v>
      </c>
      <c r="J45" s="61">
        <v>-0.00282</v>
      </c>
      <c r="K45" s="61">
        <v>0.005946</v>
      </c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22.5" customHeight="1">
      <c r="A46" s="60">
        <v>43374.0</v>
      </c>
      <c r="B46" s="61">
        <v>-0.03048</v>
      </c>
      <c r="C46" s="61">
        <v>-0.06653</v>
      </c>
      <c r="D46" s="61">
        <v>0.013172</v>
      </c>
      <c r="E46" s="61">
        <v>-0.02709</v>
      </c>
      <c r="F46" s="61">
        <v>0.036588</v>
      </c>
      <c r="G46" s="61">
        <v>-0.0661</v>
      </c>
      <c r="H46" s="61">
        <v>-0.02292</v>
      </c>
      <c r="I46" s="61">
        <v>0.074895</v>
      </c>
      <c r="J46" s="61">
        <v>-0.08596</v>
      </c>
      <c r="K46" s="61">
        <v>-0.0691</v>
      </c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22.5" customHeight="1">
      <c r="A47" s="60">
        <v>43405.0</v>
      </c>
      <c r="B47" s="61">
        <v>-0.1812</v>
      </c>
      <c r="C47" s="61">
        <v>0.032727</v>
      </c>
      <c r="D47" s="61">
        <v>0.056043</v>
      </c>
      <c r="E47" s="61">
        <v>0.019905</v>
      </c>
      <c r="F47" s="61">
        <v>0.060955</v>
      </c>
      <c r="G47" s="61">
        <v>0.042684</v>
      </c>
      <c r="H47" s="61">
        <v>0.081903</v>
      </c>
      <c r="I47" s="61">
        <v>0.065742</v>
      </c>
      <c r="J47" s="61">
        <v>-0.00265</v>
      </c>
      <c r="K47" s="61">
        <v>0.018549</v>
      </c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22.5" customHeight="1">
      <c r="A48" s="60">
        <v>43435.0</v>
      </c>
      <c r="B48" s="61">
        <v>-0.1167</v>
      </c>
      <c r="C48" s="61">
        <v>-0.12755</v>
      </c>
      <c r="D48" s="61">
        <v>-0.12151</v>
      </c>
      <c r="E48" s="61">
        <v>-0.12204</v>
      </c>
      <c r="F48" s="61">
        <v>-0.06052</v>
      </c>
      <c r="G48" s="61">
        <v>-0.08405</v>
      </c>
      <c r="H48" s="61">
        <v>-0.05581</v>
      </c>
      <c r="I48" s="61">
        <v>-0.0274</v>
      </c>
      <c r="J48" s="61">
        <v>-0.08661</v>
      </c>
      <c r="K48" s="61">
        <v>-0.08805</v>
      </c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22.5" customHeight="1">
      <c r="A49" s="60">
        <v>43466.0</v>
      </c>
      <c r="B49" s="61">
        <v>0.055154</v>
      </c>
      <c r="C49" s="61">
        <v>0.155439</v>
      </c>
      <c r="D49" s="61">
        <v>0.031228</v>
      </c>
      <c r="E49" s="61">
        <v>0.068844</v>
      </c>
      <c r="F49" s="61">
        <v>0.016473</v>
      </c>
      <c r="G49" s="61">
        <v>0.028158</v>
      </c>
      <c r="H49" s="61">
        <v>-0.019</v>
      </c>
      <c r="I49" s="61">
        <v>0.0578</v>
      </c>
      <c r="J49" s="61">
        <v>0.090108</v>
      </c>
      <c r="K49" s="61">
        <v>0.080066</v>
      </c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22.5" customHeight="1">
      <c r="A50" s="60">
        <v>43497.0</v>
      </c>
      <c r="B50" s="61">
        <v>0.044776</v>
      </c>
      <c r="C50" s="61">
        <v>0.026641</v>
      </c>
      <c r="D50" s="61">
        <v>0.033561</v>
      </c>
      <c r="E50" s="61">
        <v>0.008309</v>
      </c>
      <c r="F50" s="61">
        <v>-0.05797</v>
      </c>
      <c r="G50" s="61">
        <v>0.077358</v>
      </c>
      <c r="H50" s="61">
        <v>0.021201</v>
      </c>
      <c r="I50" s="61">
        <v>0.021561</v>
      </c>
      <c r="J50" s="61">
        <v>0.029912</v>
      </c>
      <c r="K50" s="61">
        <v>0.032416</v>
      </c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22.5" customHeight="1">
      <c r="A51" s="60">
        <v>43525.0</v>
      </c>
      <c r="B51" s="61">
        <v>0.097026</v>
      </c>
      <c r="C51" s="61">
        <v>-0.05124</v>
      </c>
      <c r="D51" s="61">
        <v>0.023053</v>
      </c>
      <c r="E51" s="61">
        <v>-0.02999</v>
      </c>
      <c r="F51" s="61">
        <v>0.042547</v>
      </c>
      <c r="G51" s="61">
        <v>0.052754</v>
      </c>
      <c r="H51" s="61">
        <v>-0.0203</v>
      </c>
      <c r="I51" s="61">
        <v>0.055809</v>
      </c>
      <c r="J51" s="61">
        <v>0.039246</v>
      </c>
      <c r="K51" s="61">
        <v>0.018101</v>
      </c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22.5" customHeight="1">
      <c r="A52" s="60">
        <v>43556.0</v>
      </c>
      <c r="B52" s="61">
        <v>0.056436</v>
      </c>
      <c r="C52" s="61">
        <v>0.108373</v>
      </c>
      <c r="D52" s="61">
        <v>0.010087</v>
      </c>
      <c r="E52" s="61">
        <v>0.155171</v>
      </c>
      <c r="F52" s="61">
        <v>0.046948</v>
      </c>
      <c r="G52" s="61">
        <v>0.107343</v>
      </c>
      <c r="H52" s="61">
        <v>-0.0438</v>
      </c>
      <c r="I52" s="61">
        <v>0.030578</v>
      </c>
      <c r="J52" s="61">
        <v>0.054993</v>
      </c>
      <c r="K52" s="61">
        <v>0.040852</v>
      </c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22.5" customHeight="1">
      <c r="A53" s="60">
        <v>43586.0</v>
      </c>
      <c r="B53" s="61">
        <v>-0.12421</v>
      </c>
      <c r="C53" s="61">
        <v>-0.13015</v>
      </c>
      <c r="D53" s="61">
        <v>-0.06482</v>
      </c>
      <c r="E53" s="61">
        <v>-0.08695</v>
      </c>
      <c r="F53" s="61">
        <v>0.001427</v>
      </c>
      <c r="G53" s="61">
        <v>-0.04948</v>
      </c>
      <c r="H53" s="61">
        <v>0.031476</v>
      </c>
      <c r="I53" s="61">
        <v>-0.03353</v>
      </c>
      <c r="J53" s="61">
        <v>-0.08225</v>
      </c>
      <c r="K53" s="61">
        <v>-0.06377</v>
      </c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22.5" customHeight="1">
      <c r="A54" s="60">
        <v>43617.0</v>
      </c>
      <c r="B54" s="61">
        <v>0.130519</v>
      </c>
      <c r="C54" s="61">
        <v>0.096117</v>
      </c>
      <c r="D54" s="61">
        <v>0.06199</v>
      </c>
      <c r="E54" s="61">
        <v>0.055115</v>
      </c>
      <c r="F54" s="61">
        <v>0.044525</v>
      </c>
      <c r="G54" s="61">
        <v>0.083118</v>
      </c>
      <c r="H54" s="61">
        <v>0.043353</v>
      </c>
      <c r="I54" s="61">
        <v>0.065494</v>
      </c>
      <c r="J54" s="61">
        <v>0.0759</v>
      </c>
      <c r="K54" s="61">
        <v>0.069586</v>
      </c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22.5" customHeight="1">
      <c r="A55" s="60">
        <v>43647.0</v>
      </c>
      <c r="B55" s="61">
        <v>0.076394</v>
      </c>
      <c r="C55" s="61">
        <v>0.057931</v>
      </c>
      <c r="D55" s="61">
        <v>-0.06505</v>
      </c>
      <c r="E55" s="61">
        <v>0.044913</v>
      </c>
      <c r="F55" s="61">
        <v>0.033582</v>
      </c>
      <c r="G55" s="61">
        <v>0.017244</v>
      </c>
      <c r="H55" s="61">
        <v>-0.10342</v>
      </c>
      <c r="I55" s="61">
        <v>0.083488</v>
      </c>
      <c r="J55" s="61">
        <v>0.023348</v>
      </c>
      <c r="K55" s="61">
        <v>0.01512</v>
      </c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22.5" customHeight="1">
      <c r="A56" s="60">
        <v>43678.0</v>
      </c>
      <c r="B56" s="61">
        <v>-0.01646</v>
      </c>
      <c r="C56" s="61">
        <v>-0.10332</v>
      </c>
      <c r="D56" s="61">
        <v>-0.0069</v>
      </c>
      <c r="E56" s="61">
        <v>-0.05293</v>
      </c>
      <c r="F56" s="61">
        <v>0.045792</v>
      </c>
      <c r="G56" s="61">
        <v>0.015037</v>
      </c>
      <c r="H56" s="61">
        <v>-0.07614</v>
      </c>
      <c r="I56" s="61">
        <v>0.018553</v>
      </c>
      <c r="J56" s="61">
        <v>-0.019</v>
      </c>
      <c r="K56" s="61">
        <v>-0.01674</v>
      </c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22.5" customHeight="1">
      <c r="A57" s="60">
        <v>43709.0</v>
      </c>
      <c r="B57" s="61">
        <v>0.072962</v>
      </c>
      <c r="C57" s="61">
        <v>0.06733</v>
      </c>
      <c r="D57" s="61">
        <v>0.007946</v>
      </c>
      <c r="E57" s="61">
        <v>0.071272</v>
      </c>
      <c r="F57" s="61">
        <v>-0.00367</v>
      </c>
      <c r="G57" s="61">
        <v>0.008487</v>
      </c>
      <c r="H57" s="61">
        <v>0.010689</v>
      </c>
      <c r="I57" s="61">
        <v>0.034517</v>
      </c>
      <c r="J57" s="61">
        <v>0.009179</v>
      </c>
      <c r="K57" s="61">
        <v>0.019458</v>
      </c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22.5" customHeight="1">
      <c r="A58" s="60">
        <v>43739.0</v>
      </c>
      <c r="B58" s="61">
        <v>0.110684</v>
      </c>
      <c r="C58" s="61">
        <v>0.071992</v>
      </c>
      <c r="D58" s="61">
        <v>0.02056</v>
      </c>
      <c r="E58" s="61">
        <v>0.069935</v>
      </c>
      <c r="F58" s="61">
        <v>-1.8E-4</v>
      </c>
      <c r="G58" s="61">
        <v>0.031216</v>
      </c>
      <c r="H58" s="61">
        <v>0.06791</v>
      </c>
      <c r="I58" s="61">
        <v>0.00744</v>
      </c>
      <c r="J58" s="61">
        <v>0.043801</v>
      </c>
      <c r="K58" s="61">
        <v>0.022104</v>
      </c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22.5" customHeight="1">
      <c r="A59" s="60">
        <v>43770.0</v>
      </c>
      <c r="B59" s="61">
        <v>0.077555</v>
      </c>
      <c r="C59" s="61">
        <v>0.065558</v>
      </c>
      <c r="D59" s="61">
        <v>0.04849</v>
      </c>
      <c r="E59" s="61">
        <v>0.054755</v>
      </c>
      <c r="F59" s="61">
        <v>-0.0116</v>
      </c>
      <c r="G59" s="61">
        <v>0.059463</v>
      </c>
      <c r="H59" s="61">
        <v>0.013612</v>
      </c>
      <c r="I59" s="61">
        <v>-0.01968</v>
      </c>
      <c r="J59" s="61">
        <v>0.040694</v>
      </c>
      <c r="K59" s="61">
        <v>0.036198</v>
      </c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22.5" customHeight="1">
      <c r="A60" s="60">
        <v>43800.0</v>
      </c>
      <c r="B60" s="61">
        <v>0.098784</v>
      </c>
      <c r="C60" s="61">
        <v>0.062794</v>
      </c>
      <c r="D60" s="61">
        <v>0.06095</v>
      </c>
      <c r="E60" s="61">
        <v>0.057984</v>
      </c>
      <c r="F60" s="61">
        <v>0.036517</v>
      </c>
      <c r="G60" s="61">
        <v>0.041749</v>
      </c>
      <c r="H60" s="61">
        <v>0.017134</v>
      </c>
      <c r="I60" s="61">
        <v>0.023268</v>
      </c>
      <c r="J60" s="61">
        <v>0.038864</v>
      </c>
      <c r="K60" s="61">
        <v>0.029056</v>
      </c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22.5" customHeight="1">
      <c r="A61" s="60">
        <v>43831.0</v>
      </c>
      <c r="B61" s="61">
        <v>0.05401</v>
      </c>
      <c r="C61" s="61">
        <v>-0.06786</v>
      </c>
      <c r="D61" s="61">
        <v>0.020566</v>
      </c>
      <c r="E61" s="61">
        <v>-0.04441</v>
      </c>
      <c r="F61" s="61">
        <v>0.055104</v>
      </c>
      <c r="G61" s="61">
        <v>0.079454</v>
      </c>
      <c r="H61" s="61">
        <v>-0.03981</v>
      </c>
      <c r="I61" s="61">
        <v>0.003686</v>
      </c>
      <c r="J61" s="61">
        <v>0.030384</v>
      </c>
      <c r="K61" s="61">
        <v>-4.0E-4</v>
      </c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22.5" customHeight="1">
      <c r="A62" s="60">
        <v>43862.0</v>
      </c>
      <c r="B62" s="61">
        <v>-0.1147</v>
      </c>
      <c r="C62" s="61">
        <v>-0.13189</v>
      </c>
      <c r="D62" s="61">
        <v>-0.0909</v>
      </c>
      <c r="E62" s="61">
        <v>-0.12277</v>
      </c>
      <c r="F62" s="61">
        <v>-0.08408</v>
      </c>
      <c r="G62" s="61">
        <v>-0.04569</v>
      </c>
      <c r="H62" s="61">
        <v>-0.10258</v>
      </c>
      <c r="I62" s="61">
        <v>-0.0914</v>
      </c>
      <c r="J62" s="61">
        <v>-0.06057</v>
      </c>
      <c r="K62" s="61">
        <v>-0.07917</v>
      </c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22.5" customHeight="1">
      <c r="A63" s="60">
        <v>43891.0</v>
      </c>
      <c r="B63" s="61">
        <v>-0.06976</v>
      </c>
      <c r="C63" s="61">
        <v>-0.25033</v>
      </c>
      <c r="D63" s="61">
        <v>-0.02491</v>
      </c>
      <c r="E63" s="61">
        <v>-0.22461</v>
      </c>
      <c r="F63" s="61">
        <v>-0.16549</v>
      </c>
      <c r="G63" s="61">
        <v>-0.02654</v>
      </c>
      <c r="H63" s="61">
        <v>-0.02334</v>
      </c>
      <c r="I63" s="61">
        <v>-0.02853</v>
      </c>
      <c r="J63" s="61">
        <v>-0.07286</v>
      </c>
      <c r="K63" s="61">
        <v>-0.12487</v>
      </c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22.5" customHeight="1">
      <c r="A64" s="60">
        <v>43922.0</v>
      </c>
      <c r="B64" s="61">
        <v>0.155374</v>
      </c>
      <c r="C64" s="61">
        <v>0.132831</v>
      </c>
      <c r="D64" s="61">
        <v>0.144208</v>
      </c>
      <c r="E64" s="61">
        <v>0.074698</v>
      </c>
      <c r="F64" s="61">
        <v>0.037062</v>
      </c>
      <c r="G64" s="61">
        <v>0.136326</v>
      </c>
      <c r="H64" s="61">
        <v>0.175245</v>
      </c>
      <c r="I64" s="61">
        <v>0.078692</v>
      </c>
      <c r="J64" s="61">
        <v>0.149737</v>
      </c>
      <c r="K64" s="61">
        <v>0.126984</v>
      </c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22.5" customHeight="1">
      <c r="A65" s="60">
        <v>43952.0</v>
      </c>
      <c r="B65" s="61">
        <v>0.085094</v>
      </c>
      <c r="C65" s="61">
        <v>0.002911</v>
      </c>
      <c r="D65" s="61">
        <v>-0.00172</v>
      </c>
      <c r="E65" s="61">
        <v>0.016186</v>
      </c>
      <c r="F65" s="61">
        <v>0.017215</v>
      </c>
      <c r="G65" s="61">
        <v>0.025391</v>
      </c>
      <c r="H65" s="61">
        <v>0.00549</v>
      </c>
      <c r="I65" s="61">
        <v>-0.01654</v>
      </c>
      <c r="J65" s="61">
        <v>0.066009</v>
      </c>
      <c r="K65" s="61">
        <v>0.047645</v>
      </c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22.5" customHeight="1">
      <c r="A66" s="60">
        <v>43983.0</v>
      </c>
      <c r="B66" s="61">
        <v>0.147386</v>
      </c>
      <c r="C66" s="61">
        <v>-0.00847</v>
      </c>
      <c r="D66" s="61">
        <v>-0.05459</v>
      </c>
      <c r="E66" s="61">
        <v>-0.0334</v>
      </c>
      <c r="F66" s="61">
        <v>-0.03415</v>
      </c>
      <c r="G66" s="61">
        <v>0.110559</v>
      </c>
      <c r="H66" s="61">
        <v>-0.14375</v>
      </c>
      <c r="I66" s="61">
        <v>0.031487</v>
      </c>
      <c r="J66" s="61">
        <v>0.062867</v>
      </c>
      <c r="K66" s="61">
        <v>0.017734</v>
      </c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22.5" customHeight="1">
      <c r="A67" s="60">
        <v>44013.0</v>
      </c>
      <c r="B67" s="61">
        <v>0.165132</v>
      </c>
      <c r="C67" s="61">
        <v>0.047579</v>
      </c>
      <c r="D67" s="61">
        <v>0.036479</v>
      </c>
      <c r="E67" s="61">
        <v>0.037441</v>
      </c>
      <c r="F67" s="61">
        <v>0.057296</v>
      </c>
      <c r="G67" s="61">
        <v>0.007371</v>
      </c>
      <c r="H67" s="61">
        <v>0.188259</v>
      </c>
      <c r="I67" s="61">
        <v>0.103516</v>
      </c>
      <c r="J67" s="61">
        <v>0.073465</v>
      </c>
      <c r="K67" s="61">
        <v>0.058892</v>
      </c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22.5" customHeight="1">
      <c r="A68" s="60">
        <v>44044.0</v>
      </c>
      <c r="B68" s="61">
        <v>0.216569</v>
      </c>
      <c r="C68" s="61">
        <v>0.034566</v>
      </c>
      <c r="D68" s="61">
        <v>0.059488</v>
      </c>
      <c r="E68" s="61">
        <v>0.036734</v>
      </c>
      <c r="F68" s="61">
        <v>0.048476</v>
      </c>
      <c r="G68" s="61">
        <v>0.102752</v>
      </c>
      <c r="H68" s="61">
        <v>-0.01793</v>
      </c>
      <c r="I68" s="61">
        <v>0.054988</v>
      </c>
      <c r="J68" s="61">
        <v>0.109447</v>
      </c>
      <c r="K68" s="61">
        <v>0.069797</v>
      </c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22.5" customHeight="1">
      <c r="A69" s="60">
        <v>44075.0</v>
      </c>
      <c r="B69" s="61">
        <v>-0.10253</v>
      </c>
      <c r="C69" s="61">
        <v>-0.05758</v>
      </c>
      <c r="D69" s="61">
        <v>-0.02953</v>
      </c>
      <c r="E69" s="61">
        <v>-0.03913</v>
      </c>
      <c r="F69" s="61">
        <v>0.004838</v>
      </c>
      <c r="G69" s="61">
        <v>-0.0674</v>
      </c>
      <c r="H69" s="61">
        <v>-0.02884</v>
      </c>
      <c r="I69" s="61">
        <v>0.004771</v>
      </c>
      <c r="J69" s="61">
        <v>-0.05779</v>
      </c>
      <c r="K69" s="61">
        <v>-0.03744</v>
      </c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22.5" customHeight="1">
      <c r="A70" s="60">
        <v>44105.0</v>
      </c>
      <c r="B70" s="61">
        <v>-0.06001</v>
      </c>
      <c r="C70" s="61">
        <v>-0.01619</v>
      </c>
      <c r="D70" s="61">
        <v>-0.07906</v>
      </c>
      <c r="E70" s="61">
        <v>0.027836</v>
      </c>
      <c r="F70" s="61">
        <v>-0.02653</v>
      </c>
      <c r="G70" s="61">
        <v>-0.03737</v>
      </c>
      <c r="H70" s="61">
        <v>-0.03324</v>
      </c>
      <c r="I70" s="61">
        <v>-0.00812</v>
      </c>
      <c r="J70" s="61">
        <v>-0.03045</v>
      </c>
      <c r="K70" s="61">
        <v>-0.02493</v>
      </c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22.5" customHeight="1">
      <c r="A71" s="60">
        <v>44136.0</v>
      </c>
      <c r="B71" s="61">
        <v>0.095493</v>
      </c>
      <c r="C71" s="61">
        <v>0.188186</v>
      </c>
      <c r="D71" s="61">
        <v>0.062543</v>
      </c>
      <c r="E71" s="61">
        <v>0.202366</v>
      </c>
      <c r="F71" s="61">
        <v>0.082077</v>
      </c>
      <c r="G71" s="61">
        <v>0.060061</v>
      </c>
      <c r="H71" s="61">
        <v>0.149774</v>
      </c>
      <c r="I71" s="61">
        <v>0.01291</v>
      </c>
      <c r="J71" s="61">
        <v>0.112258</v>
      </c>
      <c r="K71" s="61">
        <v>0.108777</v>
      </c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22.5" customHeight="1">
      <c r="A72" s="60">
        <v>44166.0</v>
      </c>
      <c r="B72" s="61">
        <v>0.114574</v>
      </c>
      <c r="C72" s="61">
        <v>0.083058</v>
      </c>
      <c r="D72" s="61">
        <v>0.08778</v>
      </c>
      <c r="E72" s="61">
        <v>0.077961</v>
      </c>
      <c r="F72" s="61">
        <v>0.062791</v>
      </c>
      <c r="G72" s="61">
        <v>0.039006</v>
      </c>
      <c r="H72" s="61">
        <v>-0.03915</v>
      </c>
      <c r="I72" s="61">
        <v>0.001944</v>
      </c>
      <c r="J72" s="61">
        <v>0.049024</v>
      </c>
      <c r="K72" s="61">
        <v>0.037048</v>
      </c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22.5" customHeight="1">
      <c r="A73" s="60">
        <v>44197.0</v>
      </c>
      <c r="B73" s="61">
        <v>-0.0055</v>
      </c>
      <c r="C73" s="61">
        <v>-0.02178</v>
      </c>
      <c r="D73" s="61">
        <v>0.036536</v>
      </c>
      <c r="E73" s="61">
        <v>0.019884</v>
      </c>
      <c r="F73" s="61">
        <v>-0.12199</v>
      </c>
      <c r="G73" s="61">
        <v>0.042892</v>
      </c>
      <c r="H73" s="61">
        <v>-0.01411</v>
      </c>
      <c r="I73" s="61">
        <v>-0.073</v>
      </c>
      <c r="J73" s="61">
        <v>0.002614</v>
      </c>
      <c r="K73" s="61">
        <v>-0.01019</v>
      </c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22.5" customHeight="1">
      <c r="A74" s="60">
        <v>44228.0</v>
      </c>
      <c r="B74" s="61">
        <v>-0.07971</v>
      </c>
      <c r="C74" s="61">
        <v>0.170658</v>
      </c>
      <c r="D74" s="61">
        <v>-0.02257</v>
      </c>
      <c r="E74" s="61">
        <v>0.143779</v>
      </c>
      <c r="F74" s="61">
        <v>0.017445</v>
      </c>
      <c r="G74" s="61">
        <v>0.004118</v>
      </c>
      <c r="H74" s="61">
        <v>-0.06713</v>
      </c>
      <c r="I74" s="61">
        <v>-0.0365</v>
      </c>
      <c r="J74" s="61">
        <v>-0.00134</v>
      </c>
      <c r="K74" s="61">
        <v>0.027805</v>
      </c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22.5" customHeight="1">
      <c r="A75" s="60">
        <v>44256.0</v>
      </c>
      <c r="B75" s="61">
        <v>0.00734</v>
      </c>
      <c r="C75" s="61">
        <v>0.120201</v>
      </c>
      <c r="D75" s="61">
        <v>0.03717</v>
      </c>
      <c r="E75" s="61">
        <v>0.034382</v>
      </c>
      <c r="F75" s="61">
        <v>0.084889</v>
      </c>
      <c r="G75" s="61">
        <v>0.014588</v>
      </c>
      <c r="H75" s="61">
        <v>0.081815</v>
      </c>
      <c r="I75" s="61">
        <v>0.096332</v>
      </c>
      <c r="J75" s="61">
        <v>0.017168</v>
      </c>
      <c r="K75" s="61">
        <v>0.045399</v>
      </c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22.5" customHeight="1">
      <c r="A76" s="60">
        <v>44287.0</v>
      </c>
      <c r="B76" s="61">
        <v>0.076218</v>
      </c>
      <c r="C76" s="61">
        <v>0.047557</v>
      </c>
      <c r="D76" s="61">
        <v>-0.00986</v>
      </c>
      <c r="E76" s="61">
        <v>0.01633</v>
      </c>
      <c r="F76" s="61">
        <v>0.024094</v>
      </c>
      <c r="G76" s="61">
        <v>0.069602</v>
      </c>
      <c r="H76" s="61">
        <v>0.066796</v>
      </c>
      <c r="I76" s="61">
        <v>-0.00854</v>
      </c>
      <c r="J76" s="61">
        <v>0.059098</v>
      </c>
      <c r="K76" s="61">
        <v>0.05291</v>
      </c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22.5" customHeight="1">
      <c r="A77" s="60">
        <v>44317.0</v>
      </c>
      <c r="B77" s="61">
        <v>-0.0505</v>
      </c>
      <c r="C77" s="61">
        <v>0.045892</v>
      </c>
      <c r="D77" s="61">
        <v>0.046555</v>
      </c>
      <c r="E77" s="61">
        <v>0.067811</v>
      </c>
      <c r="F77" s="61">
        <v>0.024269</v>
      </c>
      <c r="G77" s="61">
        <v>-0.00763</v>
      </c>
      <c r="H77" s="61">
        <v>0.011944</v>
      </c>
      <c r="I77" s="61">
        <v>0.010718</v>
      </c>
      <c r="J77" s="61">
        <v>-0.01201</v>
      </c>
      <c r="K77" s="61">
        <v>0.006566</v>
      </c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22.5" customHeight="1">
      <c r="A78" s="60">
        <v>44348.0</v>
      </c>
      <c r="B78" s="61">
        <v>0.099109</v>
      </c>
      <c r="C78" s="61">
        <v>-0.02327</v>
      </c>
      <c r="D78" s="61">
        <v>-0.02665</v>
      </c>
      <c r="E78" s="61">
        <v>-0.05297</v>
      </c>
      <c r="F78" s="61">
        <v>-0.01397</v>
      </c>
      <c r="G78" s="61">
        <v>0.084989</v>
      </c>
      <c r="H78" s="61">
        <v>0.011102</v>
      </c>
      <c r="I78" s="61">
        <v>5.93E-4</v>
      </c>
      <c r="J78" s="61">
        <v>0.062621</v>
      </c>
      <c r="K78" s="61">
        <v>0.022427</v>
      </c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22.5" customHeight="1">
      <c r="A79" s="60">
        <v>44378.0</v>
      </c>
      <c r="B79" s="61">
        <v>0.064982</v>
      </c>
      <c r="C79" s="61">
        <v>-0.06961</v>
      </c>
      <c r="D79" s="61">
        <v>0.045283</v>
      </c>
      <c r="E79" s="61">
        <v>-0.01855</v>
      </c>
      <c r="F79" s="61">
        <v>0.053964</v>
      </c>
      <c r="G79" s="61">
        <v>0.051716</v>
      </c>
      <c r="H79" s="61">
        <v>0.103109</v>
      </c>
      <c r="I79" s="61">
        <v>0.060732</v>
      </c>
      <c r="J79" s="61">
        <v>0.02861</v>
      </c>
      <c r="K79" s="61">
        <v>0.024413</v>
      </c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22.5" customHeight="1">
      <c r="A80" s="60">
        <v>44409.0</v>
      </c>
      <c r="B80" s="61">
        <v>0.04249</v>
      </c>
      <c r="C80" s="61">
        <v>0.088373</v>
      </c>
      <c r="D80" s="61">
        <v>0.011375</v>
      </c>
      <c r="E80" s="61">
        <v>0.053828</v>
      </c>
      <c r="F80" s="61">
        <v>-0.01263</v>
      </c>
      <c r="G80" s="61">
        <v>0.061591</v>
      </c>
      <c r="H80" s="61">
        <v>0.076151</v>
      </c>
      <c r="I80" s="61">
        <v>0.001125</v>
      </c>
      <c r="J80" s="61">
        <v>0.042187</v>
      </c>
      <c r="K80" s="61">
        <v>0.02976</v>
      </c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22.5" customHeight="1">
      <c r="A81" s="60">
        <v>44440.0</v>
      </c>
      <c r="B81" s="61">
        <v>-0.06804</v>
      </c>
      <c r="C81" s="61">
        <v>0.021977</v>
      </c>
      <c r="D81" s="61">
        <v>-0.06717</v>
      </c>
      <c r="E81" s="61">
        <v>0.023382</v>
      </c>
      <c r="F81" s="61">
        <v>-0.06116</v>
      </c>
      <c r="G81" s="61">
        <v>-0.06612</v>
      </c>
      <c r="H81" s="61">
        <v>-0.06642</v>
      </c>
      <c r="I81" s="61">
        <v>-0.01819</v>
      </c>
      <c r="J81" s="61">
        <v>-0.05683</v>
      </c>
      <c r="K81" s="61">
        <v>-0.04661</v>
      </c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22.5" customHeight="1">
      <c r="A82" s="60">
        <v>44470.0</v>
      </c>
      <c r="B82" s="61">
        <v>0.058657</v>
      </c>
      <c r="C82" s="61">
        <v>0.125559</v>
      </c>
      <c r="D82" s="61">
        <v>0.008545</v>
      </c>
      <c r="E82" s="61">
        <v>0.044131</v>
      </c>
      <c r="F82" s="61">
        <v>0.074328</v>
      </c>
      <c r="G82" s="61">
        <v>0.176291</v>
      </c>
      <c r="H82" s="61">
        <v>0.016973</v>
      </c>
      <c r="I82" s="61">
        <v>0.029159</v>
      </c>
      <c r="J82" s="61">
        <v>0.07864</v>
      </c>
      <c r="K82" s="61">
        <v>0.070163</v>
      </c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22.5" customHeight="1">
      <c r="A83" s="60">
        <v>44501.0</v>
      </c>
      <c r="B83" s="61">
        <v>0.105082</v>
      </c>
      <c r="C83" s="61">
        <v>-0.06928</v>
      </c>
      <c r="D83" s="61">
        <v>-0.0364</v>
      </c>
      <c r="E83" s="61">
        <v>-0.0651</v>
      </c>
      <c r="F83" s="61">
        <v>-0.06232</v>
      </c>
      <c r="G83" s="61">
        <v>-0.00128</v>
      </c>
      <c r="H83" s="61">
        <v>0.239177</v>
      </c>
      <c r="I83" s="61">
        <v>0.01112</v>
      </c>
      <c r="J83" s="61">
        <v>0.019969</v>
      </c>
      <c r="K83" s="61">
        <v>-0.00803</v>
      </c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22.5" customHeight="1">
      <c r="A84" s="60">
        <v>44531.0</v>
      </c>
      <c r="B84" s="61">
        <v>0.074229</v>
      </c>
      <c r="C84" s="61">
        <v>0.005265</v>
      </c>
      <c r="D84" s="61">
        <v>0.097095</v>
      </c>
      <c r="E84" s="61">
        <v>-0.00302</v>
      </c>
      <c r="F84" s="61">
        <v>0.128885</v>
      </c>
      <c r="G84" s="61">
        <v>0.017333</v>
      </c>
      <c r="H84" s="61">
        <v>0.099014</v>
      </c>
      <c r="I84" s="61">
        <v>0.131415</v>
      </c>
      <c r="J84" s="61">
        <v>0.011523</v>
      </c>
      <c r="K84" s="61">
        <v>0.046248</v>
      </c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22.5" customHeight="1">
      <c r="A85" s="60">
        <v>44562.0</v>
      </c>
      <c r="B85" s="61">
        <v>-0.01571</v>
      </c>
      <c r="C85" s="61">
        <v>0.037087</v>
      </c>
      <c r="D85" s="61">
        <v>0.007132</v>
      </c>
      <c r="E85" s="61">
        <v>-0.05595</v>
      </c>
      <c r="F85" s="61">
        <v>0.0304</v>
      </c>
      <c r="G85" s="61">
        <v>-0.07535</v>
      </c>
      <c r="H85" s="61">
        <v>-0.10092</v>
      </c>
      <c r="I85" s="61">
        <v>-0.01384</v>
      </c>
      <c r="J85" s="61">
        <v>-0.08747</v>
      </c>
      <c r="K85" s="61">
        <v>-0.05274</v>
      </c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22.5" customHeight="1">
      <c r="A86" s="60">
        <v>44593.0</v>
      </c>
      <c r="B86" s="61">
        <v>-0.05407</v>
      </c>
      <c r="C86" s="61">
        <v>-0.04205</v>
      </c>
      <c r="D86" s="61">
        <v>-0.03868</v>
      </c>
      <c r="E86" s="61">
        <v>-0.04576</v>
      </c>
      <c r="F86" s="61">
        <v>0.020161</v>
      </c>
      <c r="G86" s="61">
        <v>-0.03721</v>
      </c>
      <c r="H86" s="61">
        <v>-0.10913</v>
      </c>
      <c r="I86" s="61">
        <v>-0.02842</v>
      </c>
      <c r="J86" s="61">
        <v>-0.04476</v>
      </c>
      <c r="K86" s="61">
        <v>-0.02952</v>
      </c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22.5" customHeight="1">
      <c r="A87" s="60">
        <v>44621.0</v>
      </c>
      <c r="B87" s="61">
        <v>0.057474</v>
      </c>
      <c r="C87" s="61">
        <v>-0.06286</v>
      </c>
      <c r="D87" s="61">
        <v>0.076928</v>
      </c>
      <c r="E87" s="61">
        <v>-0.03865</v>
      </c>
      <c r="F87" s="61">
        <v>0.003769</v>
      </c>
      <c r="G87" s="61">
        <v>0.031862</v>
      </c>
      <c r="H87" s="61">
        <v>0.102897</v>
      </c>
      <c r="I87" s="61">
        <v>-0.01982</v>
      </c>
      <c r="J87" s="61">
        <v>0.046679</v>
      </c>
      <c r="K87" s="61">
        <v>0.03759</v>
      </c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22.5" customHeight="1">
      <c r="A88" s="60">
        <v>44652.0</v>
      </c>
      <c r="B88" s="61">
        <v>-0.09713</v>
      </c>
      <c r="C88" s="61">
        <v>-0.1344</v>
      </c>
      <c r="D88" s="61">
        <v>0.018225</v>
      </c>
      <c r="E88" s="61">
        <v>-0.11792</v>
      </c>
      <c r="F88" s="61">
        <v>0.042097</v>
      </c>
      <c r="G88" s="61">
        <v>-0.09987</v>
      </c>
      <c r="H88" s="61">
        <v>-0.05215</v>
      </c>
      <c r="I88" s="61">
        <v>0.056615</v>
      </c>
      <c r="J88" s="61">
        <v>-0.13596</v>
      </c>
      <c r="K88" s="61">
        <v>-0.08777</v>
      </c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22.5" customHeight="1">
      <c r="A89" s="60">
        <v>44682.0</v>
      </c>
      <c r="B89" s="61">
        <v>-0.0545</v>
      </c>
      <c r="C89" s="61">
        <v>0.042601</v>
      </c>
      <c r="D89" s="61">
        <v>0.001239</v>
      </c>
      <c r="E89" s="61">
        <v>0.107825</v>
      </c>
      <c r="F89" s="61">
        <v>-0.01904</v>
      </c>
      <c r="G89" s="61">
        <v>-0.01808</v>
      </c>
      <c r="H89" s="61">
        <v>0.08972</v>
      </c>
      <c r="I89" s="61">
        <v>-0.07892</v>
      </c>
      <c r="J89" s="61">
        <v>-0.01587</v>
      </c>
      <c r="K89" s="61">
        <v>0.002257</v>
      </c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22.5" customHeight="1">
      <c r="A90" s="60">
        <v>44713.0</v>
      </c>
      <c r="B90" s="61">
        <v>-0.08143</v>
      </c>
      <c r="C90" s="61">
        <v>-0.15835</v>
      </c>
      <c r="D90" s="61">
        <v>-0.01125</v>
      </c>
      <c r="E90" s="61">
        <v>-0.14838</v>
      </c>
      <c r="F90" s="61">
        <v>-2.4E-4</v>
      </c>
      <c r="G90" s="61">
        <v>-0.05532</v>
      </c>
      <c r="H90" s="61">
        <v>-0.0115</v>
      </c>
      <c r="I90" s="61">
        <v>-0.02766</v>
      </c>
      <c r="J90" s="61">
        <v>-0.08908</v>
      </c>
      <c r="K90" s="61">
        <v>-0.08246</v>
      </c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22.5" customHeight="1">
      <c r="A91" s="60">
        <v>44743.0</v>
      </c>
      <c r="B91" s="61">
        <v>0.188634</v>
      </c>
      <c r="C91" s="61">
        <v>0.08609</v>
      </c>
      <c r="D91" s="61">
        <v>-0.01684</v>
      </c>
      <c r="E91" s="61">
        <v>0.033482</v>
      </c>
      <c r="F91" s="61">
        <v>0.020029</v>
      </c>
      <c r="G91" s="61">
        <v>0.093097</v>
      </c>
      <c r="H91" s="61">
        <v>-0.02914</v>
      </c>
      <c r="I91" s="61">
        <v>-0.02767</v>
      </c>
      <c r="J91" s="61">
        <v>0.125517</v>
      </c>
      <c r="K91" s="61">
        <v>0.092088</v>
      </c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22.5" customHeight="1">
      <c r="A92" s="60">
        <v>44774.0</v>
      </c>
      <c r="B92" s="61">
        <v>-0.03121</v>
      </c>
      <c r="C92" s="61">
        <v>-0.00592</v>
      </c>
      <c r="D92" s="61">
        <v>-0.06931</v>
      </c>
      <c r="E92" s="61">
        <v>-0.01413</v>
      </c>
      <c r="F92" s="61">
        <v>-0.03834</v>
      </c>
      <c r="G92" s="61">
        <v>-0.06666</v>
      </c>
      <c r="H92" s="61">
        <v>-0.10453</v>
      </c>
      <c r="I92" s="61">
        <v>-0.00698</v>
      </c>
      <c r="J92" s="61">
        <v>-0.05132</v>
      </c>
      <c r="K92" s="61">
        <v>-0.0408</v>
      </c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22.5" customHeight="1">
      <c r="A93" s="60">
        <v>44805.0</v>
      </c>
      <c r="B93" s="61">
        <v>-0.12098</v>
      </c>
      <c r="C93" s="61">
        <v>-0.09554</v>
      </c>
      <c r="D93" s="61">
        <v>0.01252</v>
      </c>
      <c r="E93" s="61">
        <v>-0.08116</v>
      </c>
      <c r="F93" s="61">
        <v>-0.08559</v>
      </c>
      <c r="G93" s="61">
        <v>-0.10927</v>
      </c>
      <c r="H93" s="61">
        <v>-0.0325</v>
      </c>
      <c r="I93" s="61">
        <v>-0.08475</v>
      </c>
      <c r="J93" s="61">
        <v>-0.10536</v>
      </c>
      <c r="K93" s="61">
        <v>-0.09245</v>
      </c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22.5" customHeight="1">
      <c r="A94" s="60">
        <v>44835.0</v>
      </c>
      <c r="B94" s="61">
        <v>0.109551</v>
      </c>
      <c r="C94" s="61">
        <v>0.193377</v>
      </c>
      <c r="D94" s="61">
        <v>0.064949</v>
      </c>
      <c r="E94" s="61">
        <v>0.215371</v>
      </c>
      <c r="F94" s="61">
        <v>0.068369</v>
      </c>
      <c r="G94" s="61">
        <v>-0.00331</v>
      </c>
      <c r="H94" s="61">
        <v>0.063757</v>
      </c>
      <c r="I94" s="61">
        <v>0.074264</v>
      </c>
      <c r="J94" s="61">
        <v>0.039998</v>
      </c>
      <c r="K94" s="61">
        <v>0.081275</v>
      </c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22.5" customHeight="1">
      <c r="A95" s="60">
        <v>44866.0</v>
      </c>
      <c r="B95" s="61">
        <v>-0.03303</v>
      </c>
      <c r="C95" s="61">
        <v>0.050222</v>
      </c>
      <c r="D95" s="61">
        <v>0.029769</v>
      </c>
      <c r="E95" s="61">
        <v>0.097712</v>
      </c>
      <c r="F95" s="61">
        <v>0.070362</v>
      </c>
      <c r="G95" s="61">
        <v>0.102223</v>
      </c>
      <c r="H95" s="61">
        <v>0.086137</v>
      </c>
      <c r="I95" s="61">
        <v>0.107596</v>
      </c>
      <c r="J95" s="61">
        <v>0.055442</v>
      </c>
      <c r="K95" s="61">
        <v>0.055592</v>
      </c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22.5" customHeight="1">
      <c r="A96" s="60">
        <v>44896.0</v>
      </c>
      <c r="B96" s="61">
        <v>-0.12227</v>
      </c>
      <c r="C96" s="61">
        <v>-0.11985</v>
      </c>
      <c r="D96" s="61">
        <v>-0.00758</v>
      </c>
      <c r="E96" s="61">
        <v>-0.02953</v>
      </c>
      <c r="F96" s="61">
        <v>0.0</v>
      </c>
      <c r="G96" s="61">
        <v>-0.06005</v>
      </c>
      <c r="H96" s="61">
        <v>0.022142</v>
      </c>
      <c r="I96" s="61">
        <v>0.01609</v>
      </c>
      <c r="J96" s="61">
        <v>-0.09014</v>
      </c>
      <c r="K96" s="61">
        <v>-0.05763</v>
      </c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dataValidations>
    <dataValidation type="custom" allowBlank="1" showDropDown="1" sqref="A2:A96">
      <formula1>OR(NOT(ISERROR(DATEVALUE(A2))), AND(ISNUMBER(A2), LEFT(CELL("format", A2))="D"))</formula1>
    </dataValidation>
    <dataValidation type="custom" allowBlank="1" showDropDown="1" sqref="B2:K9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</cols>
  <sheetData>
    <row r="1" ht="22.5" customHeight="1">
      <c r="A1" s="55" t="s">
        <v>1</v>
      </c>
      <c r="B1" s="55" t="s">
        <v>184</v>
      </c>
      <c r="C1" s="55" t="s">
        <v>185</v>
      </c>
      <c r="D1" s="55" t="s">
        <v>186</v>
      </c>
      <c r="E1" s="55" t="s">
        <v>187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22.5" customHeight="1">
      <c r="A2" s="60">
        <v>42005.0</v>
      </c>
      <c r="B2" s="61">
        <v>-0.031</v>
      </c>
      <c r="C2" s="61">
        <v>-0.0061</v>
      </c>
      <c r="D2" s="61">
        <v>-0.0348</v>
      </c>
      <c r="E2" s="61">
        <v>0.0</v>
      </c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22.5" customHeight="1">
      <c r="A3" s="60">
        <v>42036.0</v>
      </c>
      <c r="B3" s="61">
        <v>0.0613</v>
      </c>
      <c r="C3" s="61">
        <v>0.0064</v>
      </c>
      <c r="D3" s="61">
        <v>-0.0175</v>
      </c>
      <c r="E3" s="61">
        <v>0.0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22.5" customHeight="1">
      <c r="A4" s="60">
        <v>42064.0</v>
      </c>
      <c r="B4" s="61">
        <v>-0.0111</v>
      </c>
      <c r="C4" s="61">
        <v>0.0306</v>
      </c>
      <c r="D4" s="61">
        <v>-0.0038</v>
      </c>
      <c r="E4" s="61">
        <v>0.0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22.5" customHeight="1">
      <c r="A5" s="60">
        <v>42095.0</v>
      </c>
      <c r="B5" s="61">
        <v>0.0059</v>
      </c>
      <c r="C5" s="61">
        <v>-0.0298</v>
      </c>
      <c r="D5" s="61">
        <v>0.0181</v>
      </c>
      <c r="E5" s="61">
        <v>0.0</v>
      </c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22.5" customHeight="1">
      <c r="A6" s="60">
        <v>42125.0</v>
      </c>
      <c r="B6" s="61">
        <v>0.0137</v>
      </c>
      <c r="C6" s="61">
        <v>0.0096</v>
      </c>
      <c r="D6" s="61">
        <v>-0.011</v>
      </c>
      <c r="E6" s="61">
        <v>0.0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22.5" customHeight="1">
      <c r="A7" s="60">
        <v>42156.0</v>
      </c>
      <c r="B7" s="61">
        <v>-0.0152</v>
      </c>
      <c r="C7" s="61">
        <v>0.0295</v>
      </c>
      <c r="D7" s="61">
        <v>-0.008</v>
      </c>
      <c r="E7" s="61">
        <v>0.0</v>
      </c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22.5" customHeight="1">
      <c r="A8" s="60">
        <v>42186.0</v>
      </c>
      <c r="B8" s="61">
        <v>0.0157</v>
      </c>
      <c r="C8" s="61">
        <v>-0.0417</v>
      </c>
      <c r="D8" s="61">
        <v>-0.0416</v>
      </c>
      <c r="E8" s="61">
        <v>0.0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22.5" customHeight="1">
      <c r="A9" s="60">
        <v>42217.0</v>
      </c>
      <c r="B9" s="61">
        <v>-0.0602</v>
      </c>
      <c r="C9" s="61">
        <v>0.0037</v>
      </c>
      <c r="D9" s="61">
        <v>0.0275</v>
      </c>
      <c r="E9" s="61">
        <v>0.0</v>
      </c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22.5" customHeight="1">
      <c r="A10" s="60">
        <v>42248.0</v>
      </c>
      <c r="B10" s="61">
        <v>-0.0306</v>
      </c>
      <c r="C10" s="61">
        <v>-0.0263</v>
      </c>
      <c r="D10" s="61">
        <v>0.0055</v>
      </c>
      <c r="E10" s="61">
        <v>0.0</v>
      </c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22.5" customHeight="1">
      <c r="A11" s="60">
        <v>42278.0</v>
      </c>
      <c r="B11" s="61">
        <v>0.0775</v>
      </c>
      <c r="C11" s="61">
        <v>-0.0191</v>
      </c>
      <c r="D11" s="61">
        <v>-0.0046</v>
      </c>
      <c r="E11" s="61">
        <v>0.0</v>
      </c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22.5" customHeight="1">
      <c r="A12" s="60">
        <v>42309.0</v>
      </c>
      <c r="B12" s="61">
        <v>0.0057</v>
      </c>
      <c r="C12" s="61">
        <v>0.0358</v>
      </c>
      <c r="D12" s="61">
        <v>-0.0043</v>
      </c>
      <c r="E12" s="61">
        <v>0.0</v>
      </c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22.5" customHeight="1">
      <c r="A13" s="60">
        <v>42339.0</v>
      </c>
      <c r="B13" s="61">
        <v>-0.0215</v>
      </c>
      <c r="C13" s="61">
        <v>-0.028</v>
      </c>
      <c r="D13" s="61">
        <v>-0.0257</v>
      </c>
      <c r="E13" s="61">
        <v>1.0E-4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22.5" customHeight="1">
      <c r="A14" s="60">
        <v>42370.0</v>
      </c>
      <c r="B14" s="61">
        <v>-0.0574</v>
      </c>
      <c r="C14" s="61">
        <v>-0.034</v>
      </c>
      <c r="D14" s="61">
        <v>0.0208</v>
      </c>
      <c r="E14" s="61">
        <v>1.0E-4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22.5" customHeight="1">
      <c r="A15" s="60">
        <v>42401.0</v>
      </c>
      <c r="B15" s="61">
        <v>-6.0E-4</v>
      </c>
      <c r="C15" s="61">
        <v>0.0073</v>
      </c>
      <c r="D15" s="61">
        <v>-0.0061</v>
      </c>
      <c r="E15" s="61">
        <v>2.0E-4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22.5" customHeight="1">
      <c r="A16" s="60">
        <v>42430.0</v>
      </c>
      <c r="B16" s="61">
        <v>0.0695</v>
      </c>
      <c r="C16" s="61">
        <v>0.0075</v>
      </c>
      <c r="D16" s="61">
        <v>0.0123</v>
      </c>
      <c r="E16" s="61">
        <v>2.0E-4</v>
      </c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22.5" customHeight="1">
      <c r="A17" s="60">
        <v>42461.0</v>
      </c>
      <c r="B17" s="61">
        <v>0.0092</v>
      </c>
      <c r="C17" s="61">
        <v>0.0077</v>
      </c>
      <c r="D17" s="61">
        <v>0.0322</v>
      </c>
      <c r="E17" s="61">
        <v>1.0E-4</v>
      </c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22.5" customHeight="1">
      <c r="A18" s="60">
        <v>42491.0</v>
      </c>
      <c r="B18" s="61">
        <v>0.0178</v>
      </c>
      <c r="C18" s="61">
        <v>-0.0018</v>
      </c>
      <c r="D18" s="61">
        <v>-0.0162</v>
      </c>
      <c r="E18" s="61">
        <v>1.0E-4</v>
      </c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22.5" customHeight="1">
      <c r="A19" s="60">
        <v>42522.0</v>
      </c>
      <c r="B19" s="61">
        <v>-3.0E-4</v>
      </c>
      <c r="C19" s="61">
        <v>0.006</v>
      </c>
      <c r="D19" s="61">
        <v>-0.0149</v>
      </c>
      <c r="E19" s="61">
        <v>2.0E-4</v>
      </c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22.5" customHeight="1">
      <c r="A20" s="60">
        <v>42552.0</v>
      </c>
      <c r="B20" s="61">
        <v>0.0394</v>
      </c>
      <c r="C20" s="61">
        <v>0.0247</v>
      </c>
      <c r="D20" s="61">
        <v>-0.0127</v>
      </c>
      <c r="E20" s="61">
        <v>2.0E-4</v>
      </c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22.5" customHeight="1">
      <c r="A21" s="60">
        <v>42583.0</v>
      </c>
      <c r="B21" s="61">
        <v>0.0049</v>
      </c>
      <c r="C21" s="61">
        <v>0.0119</v>
      </c>
      <c r="D21" s="61">
        <v>0.0317</v>
      </c>
      <c r="E21" s="61">
        <v>2.0E-4</v>
      </c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22.5" customHeight="1">
      <c r="A22" s="60">
        <v>42614.0</v>
      </c>
      <c r="B22" s="61">
        <v>0.0027</v>
      </c>
      <c r="C22" s="61">
        <v>0.0209</v>
      </c>
      <c r="D22" s="61">
        <v>-0.0122</v>
      </c>
      <c r="E22" s="61">
        <v>2.0E-4</v>
      </c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22.5" customHeight="1">
      <c r="A23" s="60">
        <v>42644.0</v>
      </c>
      <c r="B23" s="61">
        <v>-0.0201</v>
      </c>
      <c r="C23" s="61">
        <v>-0.0441</v>
      </c>
      <c r="D23" s="61">
        <v>0.041</v>
      </c>
      <c r="E23" s="61">
        <v>2.0E-4</v>
      </c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22.5" customHeight="1">
      <c r="A24" s="60">
        <v>42675.0</v>
      </c>
      <c r="B24" s="61">
        <v>0.0486</v>
      </c>
      <c r="C24" s="61">
        <v>0.056</v>
      </c>
      <c r="D24" s="61">
        <v>0.0832</v>
      </c>
      <c r="E24" s="61">
        <v>1.0E-4</v>
      </c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22.5" customHeight="1">
      <c r="A25" s="60">
        <v>42705.0</v>
      </c>
      <c r="B25" s="61">
        <v>0.0181</v>
      </c>
      <c r="C25" s="61">
        <v>0.0013</v>
      </c>
      <c r="D25" s="61">
        <v>0.035</v>
      </c>
      <c r="E25" s="61">
        <v>3.0E-4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22.5" customHeight="1">
      <c r="A26" s="60">
        <v>42736.0</v>
      </c>
      <c r="B26" s="61">
        <v>0.0194</v>
      </c>
      <c r="C26" s="61">
        <v>-0.0116</v>
      </c>
      <c r="D26" s="61">
        <v>-0.0274</v>
      </c>
      <c r="E26" s="61">
        <v>4.0E-4</v>
      </c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22.5" customHeight="1">
      <c r="A27" s="60">
        <v>42767.0</v>
      </c>
      <c r="B27" s="61">
        <v>0.0355</v>
      </c>
      <c r="C27" s="61">
        <v>-0.0213</v>
      </c>
      <c r="D27" s="61">
        <v>-0.0152</v>
      </c>
      <c r="E27" s="61">
        <v>4.0E-4</v>
      </c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22.5" customHeight="1">
      <c r="A28" s="60">
        <v>42795.0</v>
      </c>
      <c r="B28" s="61">
        <v>0.0017</v>
      </c>
      <c r="C28" s="61">
        <v>0.0113</v>
      </c>
      <c r="D28" s="61">
        <v>-0.0333</v>
      </c>
      <c r="E28" s="61">
        <v>3.0E-4</v>
      </c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22.5" customHeight="1">
      <c r="A29" s="60">
        <v>42826.0</v>
      </c>
      <c r="B29" s="61">
        <v>0.0108</v>
      </c>
      <c r="C29" s="61">
        <v>0.0068</v>
      </c>
      <c r="D29" s="61">
        <v>-0.0208</v>
      </c>
      <c r="E29" s="61">
        <v>5.0E-4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22.5" customHeight="1">
      <c r="A30" s="60">
        <v>42856.0</v>
      </c>
      <c r="B30" s="61">
        <v>0.0107</v>
      </c>
      <c r="C30" s="61">
        <v>-0.0251</v>
      </c>
      <c r="D30" s="61">
        <v>-0.0382</v>
      </c>
      <c r="E30" s="61">
        <v>6.0E-4</v>
      </c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22.5" customHeight="1">
      <c r="A31" s="60">
        <v>42887.0</v>
      </c>
      <c r="B31" s="61">
        <v>0.0079</v>
      </c>
      <c r="C31" s="61">
        <v>0.0222</v>
      </c>
      <c r="D31" s="61">
        <v>0.0151</v>
      </c>
      <c r="E31" s="61">
        <v>6.0E-4</v>
      </c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22.5" customHeight="1">
      <c r="A32" s="60">
        <v>42917.0</v>
      </c>
      <c r="B32" s="61">
        <v>0.0188</v>
      </c>
      <c r="C32" s="61">
        <v>-0.0145</v>
      </c>
      <c r="D32" s="61">
        <v>-0.0023</v>
      </c>
      <c r="E32" s="61">
        <v>7.0E-4</v>
      </c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22.5" customHeight="1">
      <c r="A33" s="60">
        <v>42948.0</v>
      </c>
      <c r="B33" s="61">
        <v>0.0018</v>
      </c>
      <c r="C33" s="61">
        <v>-0.0167</v>
      </c>
      <c r="D33" s="61">
        <v>-0.0213</v>
      </c>
      <c r="E33" s="61">
        <v>9.0E-4</v>
      </c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22.5" customHeight="1">
      <c r="A34" s="60">
        <v>42979.0</v>
      </c>
      <c r="B34" s="61">
        <v>0.0249</v>
      </c>
      <c r="C34" s="61">
        <v>0.0445</v>
      </c>
      <c r="D34" s="61">
        <v>0.0315</v>
      </c>
      <c r="E34" s="61">
        <v>9.0E-4</v>
      </c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22.5" customHeight="1">
      <c r="A35" s="60">
        <v>43009.0</v>
      </c>
      <c r="B35" s="61">
        <v>0.0226</v>
      </c>
      <c r="C35" s="61">
        <v>-0.0193</v>
      </c>
      <c r="D35" s="61">
        <v>0.0013</v>
      </c>
      <c r="E35" s="61">
        <v>9.0E-4</v>
      </c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22.5" customHeight="1">
      <c r="A36" s="60">
        <v>43040.0</v>
      </c>
      <c r="B36" s="61">
        <v>0.0312</v>
      </c>
      <c r="C36" s="61">
        <v>-0.006</v>
      </c>
      <c r="D36" s="61">
        <v>-9.0E-4</v>
      </c>
      <c r="E36" s="61">
        <v>8.0E-4</v>
      </c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22.5" customHeight="1">
      <c r="A37" s="60">
        <v>43070.0</v>
      </c>
      <c r="B37" s="61">
        <v>0.0106</v>
      </c>
      <c r="C37" s="61">
        <v>-0.0132</v>
      </c>
      <c r="D37" s="61">
        <v>5.0E-4</v>
      </c>
      <c r="E37" s="61">
        <v>9.0E-4</v>
      </c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22.5" customHeight="1">
      <c r="A38" s="60">
        <v>43101.0</v>
      </c>
      <c r="B38" s="61">
        <v>0.0558</v>
      </c>
      <c r="C38" s="61">
        <v>-0.0316</v>
      </c>
      <c r="D38" s="61">
        <v>-0.0132</v>
      </c>
      <c r="E38" s="61">
        <v>0.0011</v>
      </c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22.5" customHeight="1">
      <c r="A39" s="60">
        <v>43132.0</v>
      </c>
      <c r="B39" s="61">
        <v>-0.0364</v>
      </c>
      <c r="C39" s="61">
        <v>0.0027</v>
      </c>
      <c r="D39" s="61">
        <v>-0.011</v>
      </c>
      <c r="E39" s="61">
        <v>0.0011</v>
      </c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22.5" customHeight="1">
      <c r="A40" s="60">
        <v>43160.0</v>
      </c>
      <c r="B40" s="61">
        <v>-0.0235</v>
      </c>
      <c r="C40" s="61">
        <v>0.0405</v>
      </c>
      <c r="D40" s="61">
        <v>-0.0021</v>
      </c>
      <c r="E40" s="61">
        <v>0.0012</v>
      </c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22.5" customHeight="1">
      <c r="A41" s="60">
        <v>43191.0</v>
      </c>
      <c r="B41" s="61">
        <v>0.0027</v>
      </c>
      <c r="C41" s="61">
        <v>0.0109</v>
      </c>
      <c r="D41" s="61">
        <v>0.0053</v>
      </c>
      <c r="E41" s="61">
        <v>0.0014</v>
      </c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22.5" customHeight="1">
      <c r="A42" s="60">
        <v>43221.0</v>
      </c>
      <c r="B42" s="61">
        <v>0.0266</v>
      </c>
      <c r="C42" s="61">
        <v>0.0524</v>
      </c>
      <c r="D42" s="61">
        <v>-0.0314</v>
      </c>
      <c r="E42" s="61">
        <v>0.0014</v>
      </c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22.5" customHeight="1">
      <c r="A43" s="60">
        <v>43252.0</v>
      </c>
      <c r="B43" s="61">
        <v>0.0049</v>
      </c>
      <c r="C43" s="61">
        <v>0.0111</v>
      </c>
      <c r="D43" s="61">
        <v>-0.0233</v>
      </c>
      <c r="E43" s="61">
        <v>0.0014</v>
      </c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22.5" customHeight="1">
      <c r="A44" s="60">
        <v>43282.0</v>
      </c>
      <c r="B44" s="61">
        <v>0.032</v>
      </c>
      <c r="C44" s="61">
        <v>-0.0222</v>
      </c>
      <c r="D44" s="61">
        <v>0.0047</v>
      </c>
      <c r="E44" s="61">
        <v>0.0016</v>
      </c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22.5" customHeight="1">
      <c r="A45" s="60">
        <v>43313.0</v>
      </c>
      <c r="B45" s="61">
        <v>0.0345</v>
      </c>
      <c r="C45" s="61">
        <v>0.0117</v>
      </c>
      <c r="D45" s="61">
        <v>-0.0393</v>
      </c>
      <c r="E45" s="61">
        <v>0.0016</v>
      </c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22.5" customHeight="1">
      <c r="A46" s="60">
        <v>43344.0</v>
      </c>
      <c r="B46" s="61">
        <v>6.0E-4</v>
      </c>
      <c r="C46" s="61">
        <v>-0.0229</v>
      </c>
      <c r="D46" s="61">
        <v>-0.0168</v>
      </c>
      <c r="E46" s="61">
        <v>0.0015</v>
      </c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22.5" customHeight="1">
      <c r="A47" s="60">
        <v>43374.0</v>
      </c>
      <c r="B47" s="61">
        <v>-0.0765</v>
      </c>
      <c r="C47" s="61">
        <v>-0.0467</v>
      </c>
      <c r="D47" s="61">
        <v>0.0343</v>
      </c>
      <c r="E47" s="61">
        <v>0.0019</v>
      </c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22.5" customHeight="1">
      <c r="A48" s="60">
        <v>43405.0</v>
      </c>
      <c r="B48" s="61">
        <v>0.0171</v>
      </c>
      <c r="C48" s="61">
        <v>-0.0072</v>
      </c>
      <c r="D48" s="61">
        <v>0.0034</v>
      </c>
      <c r="E48" s="61">
        <v>0.0018</v>
      </c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22.5" customHeight="1">
      <c r="A49" s="60">
        <v>43435.0</v>
      </c>
      <c r="B49" s="61">
        <v>-0.0955</v>
      </c>
      <c r="C49" s="61">
        <v>-0.0233</v>
      </c>
      <c r="D49" s="61">
        <v>-0.0188</v>
      </c>
      <c r="E49" s="61">
        <v>0.0019</v>
      </c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22.5" customHeight="1">
      <c r="A50" s="60">
        <v>43466.0</v>
      </c>
      <c r="B50" s="61">
        <v>0.0837</v>
      </c>
      <c r="C50" s="61">
        <v>0.0273</v>
      </c>
      <c r="D50" s="61">
        <v>-0.004</v>
      </c>
      <c r="E50" s="61">
        <v>0.0021</v>
      </c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22.5" customHeight="1">
      <c r="A51" s="60">
        <v>43497.0</v>
      </c>
      <c r="B51" s="61">
        <v>0.0342</v>
      </c>
      <c r="C51" s="61">
        <v>0.0205</v>
      </c>
      <c r="D51" s="61">
        <v>-0.0266</v>
      </c>
      <c r="E51" s="61">
        <v>0.0018</v>
      </c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22.5" customHeight="1">
      <c r="A52" s="60">
        <v>43525.0</v>
      </c>
      <c r="B52" s="61">
        <v>0.011</v>
      </c>
      <c r="C52" s="61">
        <v>-0.0306</v>
      </c>
      <c r="D52" s="61">
        <v>-0.0416</v>
      </c>
      <c r="E52" s="61">
        <v>0.0019</v>
      </c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22.5" customHeight="1">
      <c r="A53" s="60">
        <v>43556.0</v>
      </c>
      <c r="B53" s="61">
        <v>0.0397</v>
      </c>
      <c r="C53" s="61">
        <v>-0.0169</v>
      </c>
      <c r="D53" s="61">
        <v>0.0213</v>
      </c>
      <c r="E53" s="61">
        <v>0.0021</v>
      </c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22.5" customHeight="1">
      <c r="A54" s="60">
        <v>43586.0</v>
      </c>
      <c r="B54" s="61">
        <v>-0.0692</v>
      </c>
      <c r="C54" s="61">
        <v>-0.0122</v>
      </c>
      <c r="D54" s="61">
        <v>-0.0236</v>
      </c>
      <c r="E54" s="61">
        <v>0.0021</v>
      </c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22.5" customHeight="1">
      <c r="A55" s="60">
        <v>43617.0</v>
      </c>
      <c r="B55" s="61">
        <v>0.0699</v>
      </c>
      <c r="C55" s="61">
        <v>0.001</v>
      </c>
      <c r="D55" s="61">
        <v>-0.0072</v>
      </c>
      <c r="E55" s="61">
        <v>0.0018</v>
      </c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22.5" customHeight="1">
      <c r="A56" s="60">
        <v>43647.0</v>
      </c>
      <c r="B56" s="61">
        <v>0.0123</v>
      </c>
      <c r="C56" s="61">
        <v>-0.0196</v>
      </c>
      <c r="D56" s="61">
        <v>0.005</v>
      </c>
      <c r="E56" s="61">
        <v>0.0019</v>
      </c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22.5" customHeight="1">
      <c r="A57" s="60">
        <v>43678.0</v>
      </c>
      <c r="B57" s="61">
        <v>-0.0255</v>
      </c>
      <c r="C57" s="61">
        <v>-0.0239</v>
      </c>
      <c r="D57" s="61">
        <v>-0.0477</v>
      </c>
      <c r="E57" s="61">
        <v>0.0016</v>
      </c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22.5" customHeight="1">
      <c r="A58" s="60">
        <v>43709.0</v>
      </c>
      <c r="B58" s="61">
        <v>0.0141</v>
      </c>
      <c r="C58" s="61">
        <v>-0.0097</v>
      </c>
      <c r="D58" s="61">
        <v>0.0676</v>
      </c>
      <c r="E58" s="61">
        <v>0.0018</v>
      </c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22.5" customHeight="1">
      <c r="A59" s="60">
        <v>43739.0</v>
      </c>
      <c r="B59" s="61">
        <v>0.0207</v>
      </c>
      <c r="C59" s="61">
        <v>0.0027</v>
      </c>
      <c r="D59" s="61">
        <v>-0.0192</v>
      </c>
      <c r="E59" s="61">
        <v>0.0015</v>
      </c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22.5" customHeight="1">
      <c r="A60" s="60">
        <v>43770.0</v>
      </c>
      <c r="B60" s="61">
        <v>0.0387</v>
      </c>
      <c r="C60" s="61">
        <v>0.0072</v>
      </c>
      <c r="D60" s="61">
        <v>-0.02</v>
      </c>
      <c r="E60" s="61">
        <v>0.0012</v>
      </c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22.5" customHeight="1">
      <c r="A61" s="60">
        <v>43800.0</v>
      </c>
      <c r="B61" s="61">
        <v>0.0277</v>
      </c>
      <c r="C61" s="61">
        <v>0.0076</v>
      </c>
      <c r="D61" s="61">
        <v>0.0173</v>
      </c>
      <c r="E61" s="61">
        <v>0.0014</v>
      </c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22.5" customHeight="1">
      <c r="A62" s="60">
        <v>43831.0</v>
      </c>
      <c r="B62" s="61">
        <v>-0.0011</v>
      </c>
      <c r="C62" s="61">
        <v>-0.031</v>
      </c>
      <c r="D62" s="61">
        <v>-0.0622</v>
      </c>
      <c r="E62" s="61">
        <v>0.0013</v>
      </c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22.5" customHeight="1">
      <c r="A63" s="60">
        <v>43862.0</v>
      </c>
      <c r="B63" s="61">
        <v>-0.0815</v>
      </c>
      <c r="C63" s="61">
        <v>0.0108</v>
      </c>
      <c r="D63" s="61">
        <v>-0.0382</v>
      </c>
      <c r="E63" s="61">
        <v>0.0012</v>
      </c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22.5" customHeight="1">
      <c r="A64" s="60">
        <v>43891.0</v>
      </c>
      <c r="B64" s="61">
        <v>-0.1337</v>
      </c>
      <c r="C64" s="61">
        <v>-0.0469</v>
      </c>
      <c r="D64" s="61">
        <v>-0.1383</v>
      </c>
      <c r="E64" s="61">
        <v>0.0012</v>
      </c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22.5" customHeight="1">
      <c r="A65" s="60">
        <v>43922.0</v>
      </c>
      <c r="B65" s="61">
        <v>0.136</v>
      </c>
      <c r="C65" s="61">
        <v>0.025</v>
      </c>
      <c r="D65" s="61">
        <v>-0.0134</v>
      </c>
      <c r="E65" s="61">
        <v>0.0</v>
      </c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22.5" customHeight="1">
      <c r="A66" s="60">
        <v>43952.0</v>
      </c>
      <c r="B66" s="61">
        <v>0.0557</v>
      </c>
      <c r="C66" s="61">
        <v>0.024</v>
      </c>
      <c r="D66" s="61">
        <v>-0.05</v>
      </c>
      <c r="E66" s="61">
        <v>1.0E-4</v>
      </c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22.5" customHeight="1">
      <c r="A67" s="60">
        <v>43983.0</v>
      </c>
      <c r="B67" s="61">
        <v>0.0245</v>
      </c>
      <c r="C67" s="61">
        <v>0.0267</v>
      </c>
      <c r="D67" s="61">
        <v>-0.0217</v>
      </c>
      <c r="E67" s="61">
        <v>1.0E-4</v>
      </c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22.5" customHeight="1">
      <c r="A68" s="60">
        <v>44013.0</v>
      </c>
      <c r="B68" s="61">
        <v>0.0583</v>
      </c>
      <c r="C68" s="61">
        <v>-0.0235</v>
      </c>
      <c r="D68" s="61">
        <v>-0.0144</v>
      </c>
      <c r="E68" s="61">
        <v>1.0E-4</v>
      </c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22.5" customHeight="1">
      <c r="A69" s="60">
        <v>44044.0</v>
      </c>
      <c r="B69" s="61">
        <v>0.0762</v>
      </c>
      <c r="C69" s="61">
        <v>-0.002</v>
      </c>
      <c r="D69" s="61">
        <v>-0.0302</v>
      </c>
      <c r="E69" s="61">
        <v>1.0E-4</v>
      </c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22.5" customHeight="1">
      <c r="A70" s="60">
        <v>44075.0</v>
      </c>
      <c r="B70" s="61">
        <v>-0.0364</v>
      </c>
      <c r="C70" s="61">
        <v>6.0E-4</v>
      </c>
      <c r="D70" s="61">
        <v>-0.0272</v>
      </c>
      <c r="E70" s="61">
        <v>1.0E-4</v>
      </c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22.5" customHeight="1">
      <c r="A71" s="60">
        <v>44105.0</v>
      </c>
      <c r="B71" s="61">
        <v>-0.0208</v>
      </c>
      <c r="C71" s="61">
        <v>0.0434</v>
      </c>
      <c r="D71" s="61">
        <v>0.0425</v>
      </c>
      <c r="E71" s="61">
        <v>1.0E-4</v>
      </c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22.5" customHeight="1">
      <c r="A72" s="60">
        <v>44136.0</v>
      </c>
      <c r="B72" s="61">
        <v>0.1245</v>
      </c>
      <c r="C72" s="61">
        <v>0.0581</v>
      </c>
      <c r="D72" s="61">
        <v>0.0209</v>
      </c>
      <c r="E72" s="61">
        <v>1.0E-4</v>
      </c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22.5" customHeight="1">
      <c r="A73" s="60">
        <v>44166.0</v>
      </c>
      <c r="B73" s="61">
        <v>0.0463</v>
      </c>
      <c r="C73" s="61">
        <v>0.0501</v>
      </c>
      <c r="D73" s="61">
        <v>-0.0168</v>
      </c>
      <c r="E73" s="61">
        <v>1.0E-4</v>
      </c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22.5" customHeight="1">
      <c r="A74" s="60">
        <v>44197.0</v>
      </c>
      <c r="B74" s="61">
        <v>-7.0E-4</v>
      </c>
      <c r="C74" s="61">
        <v>0.0714</v>
      </c>
      <c r="D74" s="61">
        <v>0.0322</v>
      </c>
      <c r="E74" s="61">
        <v>0.0</v>
      </c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22.5" customHeight="1">
      <c r="A75" s="60">
        <v>44228.0</v>
      </c>
      <c r="B75" s="61">
        <v>0.0281</v>
      </c>
      <c r="C75" s="61">
        <v>0.0202</v>
      </c>
      <c r="D75" s="61">
        <v>0.072</v>
      </c>
      <c r="E75" s="61">
        <v>0.0</v>
      </c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22.5" customHeight="1">
      <c r="A76" s="60">
        <v>44256.0</v>
      </c>
      <c r="B76" s="61">
        <v>0.0317</v>
      </c>
      <c r="C76" s="61">
        <v>-0.0233</v>
      </c>
      <c r="D76" s="61">
        <v>0.0735</v>
      </c>
      <c r="E76" s="61">
        <v>0.0</v>
      </c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22.5" customHeight="1">
      <c r="A77" s="60">
        <v>44287.0</v>
      </c>
      <c r="B77" s="61">
        <v>0.0495</v>
      </c>
      <c r="C77" s="61">
        <v>-0.0319</v>
      </c>
      <c r="D77" s="61">
        <v>-0.0102</v>
      </c>
      <c r="E77" s="61">
        <v>0.0</v>
      </c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22.5" customHeight="1">
      <c r="A78" s="60">
        <v>44317.0</v>
      </c>
      <c r="B78" s="61">
        <v>0.003</v>
      </c>
      <c r="C78" s="61">
        <v>-0.002</v>
      </c>
      <c r="D78" s="61">
        <v>0.0704</v>
      </c>
      <c r="E78" s="61">
        <v>0.0</v>
      </c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22.5" customHeight="1">
      <c r="A79" s="60">
        <v>44348.0</v>
      </c>
      <c r="B79" s="61">
        <v>0.0274</v>
      </c>
      <c r="C79" s="61">
        <v>0.017</v>
      </c>
      <c r="D79" s="61">
        <v>-0.0786</v>
      </c>
      <c r="E79" s="61">
        <v>0.0</v>
      </c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22.5" customHeight="1">
      <c r="A80" s="60">
        <v>44378.0</v>
      </c>
      <c r="B80" s="61">
        <v>0.0134</v>
      </c>
      <c r="C80" s="61">
        <v>-0.0393</v>
      </c>
      <c r="D80" s="61">
        <v>-0.018</v>
      </c>
      <c r="E80" s="61">
        <v>0.0</v>
      </c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22.5" customHeight="1">
      <c r="A81" s="60">
        <v>44409.0</v>
      </c>
      <c r="B81" s="61">
        <v>0.0294</v>
      </c>
      <c r="C81" s="61">
        <v>-0.0032</v>
      </c>
      <c r="D81" s="61">
        <v>-0.0023</v>
      </c>
      <c r="E81" s="61">
        <v>0.0</v>
      </c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22.5" customHeight="1">
      <c r="A82" s="60">
        <v>44440.0</v>
      </c>
      <c r="B82" s="61">
        <v>-0.044</v>
      </c>
      <c r="C82" s="61">
        <v>0.0066</v>
      </c>
      <c r="D82" s="61">
        <v>0.0512</v>
      </c>
      <c r="E82" s="61">
        <v>0.0</v>
      </c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22.5" customHeight="1">
      <c r="A83" s="60">
        <v>44470.0</v>
      </c>
      <c r="B83" s="61">
        <v>0.0663</v>
      </c>
      <c r="C83" s="61">
        <v>-0.0226</v>
      </c>
      <c r="D83" s="61">
        <v>-0.0053</v>
      </c>
      <c r="E83" s="61">
        <v>0.0</v>
      </c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22.5" customHeight="1">
      <c r="A84" s="60">
        <v>44501.0</v>
      </c>
      <c r="B84" s="61">
        <v>-0.0158</v>
      </c>
      <c r="C84" s="61">
        <v>-0.0131</v>
      </c>
      <c r="D84" s="61">
        <v>-0.0037</v>
      </c>
      <c r="E84" s="61">
        <v>0.0</v>
      </c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22.5" customHeight="1">
      <c r="A85" s="60">
        <v>44531.0</v>
      </c>
      <c r="B85" s="61">
        <v>0.0323</v>
      </c>
      <c r="C85" s="61">
        <v>-0.0163</v>
      </c>
      <c r="D85" s="61">
        <v>0.0325</v>
      </c>
      <c r="E85" s="61">
        <v>1.0E-4</v>
      </c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22.5" customHeight="1">
      <c r="A86" s="60">
        <v>44562.0</v>
      </c>
      <c r="B86" s="61">
        <v>-0.0616</v>
      </c>
      <c r="C86" s="61">
        <v>-0.0593</v>
      </c>
      <c r="D86" s="61">
        <v>0.1286</v>
      </c>
      <c r="E86" s="61">
        <v>0.0</v>
      </c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22.5" customHeight="1">
      <c r="A87" s="60">
        <v>44593.0</v>
      </c>
      <c r="B87" s="61">
        <v>-0.0228</v>
      </c>
      <c r="C87" s="61">
        <v>0.0216</v>
      </c>
      <c r="D87" s="61">
        <v>0.0306</v>
      </c>
      <c r="E87" s="61">
        <v>0.0</v>
      </c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22.5" customHeight="1">
      <c r="A88" s="60">
        <v>44621.0</v>
      </c>
      <c r="B88" s="61">
        <v>0.0308</v>
      </c>
      <c r="C88" s="61">
        <v>-0.0155</v>
      </c>
      <c r="D88" s="61">
        <v>-0.019</v>
      </c>
      <c r="E88" s="61">
        <v>0.0</v>
      </c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22.5" customHeight="1">
      <c r="A89" s="60">
        <v>44652.0</v>
      </c>
      <c r="B89" s="61">
        <v>-0.0941</v>
      </c>
      <c r="C89" s="61">
        <v>-0.0135</v>
      </c>
      <c r="D89" s="61">
        <v>0.0618</v>
      </c>
      <c r="E89" s="61">
        <v>0.0</v>
      </c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22.5" customHeight="1">
      <c r="A90" s="60">
        <v>44682.0</v>
      </c>
      <c r="B90" s="61">
        <v>-0.0034</v>
      </c>
      <c r="C90" s="61">
        <v>-0.0184</v>
      </c>
      <c r="D90" s="61">
        <v>0.0844</v>
      </c>
      <c r="E90" s="61">
        <v>3.0E-4</v>
      </c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22.5" customHeight="1">
      <c r="A91" s="60">
        <v>44713.0</v>
      </c>
      <c r="B91" s="61">
        <v>-0.084</v>
      </c>
      <c r="C91" s="61">
        <v>0.0207</v>
      </c>
      <c r="D91" s="61">
        <v>-0.06</v>
      </c>
      <c r="E91" s="61">
        <v>6.0E-4</v>
      </c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22.5" customHeight="1">
      <c r="A92" s="60">
        <v>44743.0</v>
      </c>
      <c r="B92" s="61">
        <v>0.0957</v>
      </c>
      <c r="C92" s="61">
        <v>0.0286</v>
      </c>
      <c r="D92" s="61">
        <v>-0.0413</v>
      </c>
      <c r="E92" s="61">
        <v>8.0E-4</v>
      </c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22.5" customHeight="1">
      <c r="A93" s="60">
        <v>44774.0</v>
      </c>
      <c r="B93" s="61">
        <v>-0.0377</v>
      </c>
      <c r="C93" s="61">
        <v>0.0141</v>
      </c>
      <c r="D93" s="61">
        <v>0.0018</v>
      </c>
      <c r="E93" s="61">
        <v>0.0019</v>
      </c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22.5" customHeight="1">
      <c r="A94" s="60">
        <v>44805.0</v>
      </c>
      <c r="B94" s="61">
        <v>-0.0934</v>
      </c>
      <c r="C94" s="61">
        <v>-0.0076</v>
      </c>
      <c r="D94" s="61">
        <v>3.0E-4</v>
      </c>
      <c r="E94" s="61">
        <v>0.0019</v>
      </c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22.5" customHeight="1">
      <c r="A95" s="60">
        <v>44835.0</v>
      </c>
      <c r="B95" s="61">
        <v>0.0785</v>
      </c>
      <c r="C95" s="61">
        <v>1.0E-4</v>
      </c>
      <c r="D95" s="61">
        <v>0.0797</v>
      </c>
      <c r="E95" s="61">
        <v>0.0023</v>
      </c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22.5" customHeight="1">
      <c r="A96" s="60">
        <v>44866.0</v>
      </c>
      <c r="B96" s="61">
        <v>0.0465</v>
      </c>
      <c r="C96" s="61">
        <v>-0.0357</v>
      </c>
      <c r="D96" s="61">
        <v>0.0148</v>
      </c>
      <c r="E96" s="61">
        <v>0.0029</v>
      </c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22.5" customHeight="1">
      <c r="A97" s="60">
        <v>44896.0</v>
      </c>
      <c r="B97" s="61">
        <v>-0.0638</v>
      </c>
      <c r="C97" s="61">
        <v>-0.0076</v>
      </c>
      <c r="D97" s="61">
        <v>0.0134</v>
      </c>
      <c r="E97" s="61">
        <v>0.0033</v>
      </c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dataValidations>
    <dataValidation type="custom" allowBlank="1" showDropDown="1" sqref="A2:A97">
      <formula1>OR(NOT(ISERROR(DATEVALUE(A2))), AND(ISNUMBER(A2), LEFT(CELL("format", A2))="D"))</formula1>
    </dataValidation>
    <dataValidation type="custom" allowBlank="1" showDropDown="1" sqref="B2:E9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26.38"/>
    <col customWidth="1" min="3" max="3" width="35.75"/>
    <col customWidth="1" min="4" max="4" width="27.63"/>
    <col customWidth="1" min="5" max="5" width="23.13"/>
    <col customWidth="1" min="6" max="6" width="18.0"/>
  </cols>
  <sheetData>
    <row r="1" ht="22.5" customHeight="1">
      <c r="A1" s="55" t="s">
        <v>30</v>
      </c>
      <c r="B1" s="55" t="s">
        <v>188</v>
      </c>
      <c r="C1" s="55" t="s">
        <v>189</v>
      </c>
      <c r="D1" s="55" t="s">
        <v>190</v>
      </c>
      <c r="E1" s="55" t="s">
        <v>191</v>
      </c>
      <c r="F1" s="55" t="s">
        <v>192</v>
      </c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22.5" customHeight="1">
      <c r="A2" s="63" t="s">
        <v>175</v>
      </c>
      <c r="B2" s="61">
        <v>0.008347</v>
      </c>
      <c r="C2" s="61">
        <v>1.278213</v>
      </c>
      <c r="D2" s="61">
        <v>-0.29052</v>
      </c>
      <c r="E2" s="61">
        <v>-0.52352</v>
      </c>
      <c r="F2" s="61">
        <v>0.544091</v>
      </c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22.5" customHeight="1">
      <c r="A3" s="63" t="s">
        <v>177</v>
      </c>
      <c r="B3" s="61">
        <v>0.001187</v>
      </c>
      <c r="C3" s="61">
        <v>1.367168</v>
      </c>
      <c r="D3" s="61">
        <v>0.123424</v>
      </c>
      <c r="E3" s="61">
        <v>0.946766</v>
      </c>
      <c r="F3" s="61">
        <v>0.770907</v>
      </c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22.5" customHeight="1">
      <c r="A4" s="63" t="s">
        <v>5</v>
      </c>
      <c r="B4" s="61">
        <v>0.003244</v>
      </c>
      <c r="C4" s="61">
        <v>0.581612</v>
      </c>
      <c r="D4" s="61">
        <v>-0.43315</v>
      </c>
      <c r="E4" s="61">
        <v>0.030595</v>
      </c>
      <c r="F4" s="61">
        <v>0.36267</v>
      </c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22.5" customHeight="1">
      <c r="A5" s="63" t="s">
        <v>6</v>
      </c>
      <c r="B5" s="61">
        <v>0.004305</v>
      </c>
      <c r="C5" s="61">
        <v>1.096195</v>
      </c>
      <c r="D5" s="61">
        <v>0.09606</v>
      </c>
      <c r="E5" s="61">
        <v>0.827138</v>
      </c>
      <c r="F5" s="61">
        <v>0.752218</v>
      </c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22.5" customHeight="1">
      <c r="A6" s="63" t="s">
        <v>179</v>
      </c>
      <c r="B6" s="61">
        <v>0.001951</v>
      </c>
      <c r="C6" s="61">
        <v>0.612647</v>
      </c>
      <c r="D6" s="61">
        <v>-0.75028</v>
      </c>
      <c r="E6" s="61">
        <v>0.206985</v>
      </c>
      <c r="F6" s="61">
        <v>0.462228</v>
      </c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22.5" customHeight="1">
      <c r="A7" s="63" t="s">
        <v>8</v>
      </c>
      <c r="B7" s="61">
        <v>0.012179</v>
      </c>
      <c r="C7" s="61">
        <v>1.037252</v>
      </c>
      <c r="D7" s="61">
        <v>-0.61949</v>
      </c>
      <c r="E7" s="61">
        <v>-0.39513</v>
      </c>
      <c r="F7" s="61">
        <v>0.619888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22.5" customHeight="1">
      <c r="A8" s="63" t="s">
        <v>180</v>
      </c>
      <c r="B8" s="61">
        <v>0.003497</v>
      </c>
      <c r="C8" s="61">
        <v>0.749396</v>
      </c>
      <c r="D8" s="61">
        <v>-0.51167</v>
      </c>
      <c r="E8" s="61">
        <v>-0.05808</v>
      </c>
      <c r="F8" s="61">
        <v>0.266062</v>
      </c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22.5" customHeight="1">
      <c r="A9" s="63" t="s">
        <v>11</v>
      </c>
      <c r="B9" s="61">
        <v>0.004554</v>
      </c>
      <c r="C9" s="61">
        <v>0.45331</v>
      </c>
      <c r="D9" s="61">
        <v>-0.67085</v>
      </c>
      <c r="E9" s="61">
        <v>0.029572</v>
      </c>
      <c r="F9" s="61">
        <v>0.279357</v>
      </c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22.5" customHeight="1">
      <c r="A10" s="63" t="s">
        <v>181</v>
      </c>
      <c r="B10" s="61">
        <v>0.001876</v>
      </c>
      <c r="C10" s="61">
        <v>1.113809</v>
      </c>
      <c r="D10" s="61">
        <v>-0.20342</v>
      </c>
      <c r="E10" s="61">
        <v>-0.36891</v>
      </c>
      <c r="F10" s="61">
        <v>0.936842</v>
      </c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22.5" customHeight="1">
      <c r="A11" s="63" t="s">
        <v>182</v>
      </c>
      <c r="B11" s="61">
        <v>1.26E-4</v>
      </c>
      <c r="C11" s="61">
        <v>0.981746</v>
      </c>
      <c r="D11" s="61">
        <v>-0.15455</v>
      </c>
      <c r="E11" s="61">
        <v>0.014486</v>
      </c>
      <c r="F11" s="61">
        <v>0.995916</v>
      </c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dataValidations>
    <dataValidation type="custom" allowBlank="1" showDropDown="1" sqref="B2:F1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