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Audit_&amp;_Endowment_IPS" sheetId="1" state="visible" r:id="rId1"/>
    <sheet xmlns:r="http://schemas.openxmlformats.org/officeDocument/2006/relationships" name="C1&amp;2_eligibility" sheetId="2" state="visible" r:id="rId2"/>
    <sheet xmlns:r="http://schemas.openxmlformats.org/officeDocument/2006/relationships" name="C2_8Pillar_&amp;_4Pillar_Matrix" sheetId="3" state="visible" r:id="rId3"/>
    <sheet xmlns:r="http://schemas.openxmlformats.org/officeDocument/2006/relationships" name="Raw_Adjusted_Prices" sheetId="4" state="visible" r:id="rId4"/>
    <sheet xmlns:r="http://schemas.openxmlformats.org/officeDocument/2006/relationships" name="Returns_data" sheetId="5" state="visible" r:id="rId5"/>
    <sheet xmlns:r="http://schemas.openxmlformats.org/officeDocument/2006/relationships" name="C3_return check" sheetId="6" state="visible" r:id="rId6"/>
    <sheet xmlns:r="http://schemas.openxmlformats.org/officeDocument/2006/relationships" name="C4_source record" sheetId="7" state="visible" r:id="rId7"/>
    <sheet xmlns:r="http://schemas.openxmlformats.org/officeDocument/2006/relationships" name="Stock Returns" sheetId="8" state="visible" r:id="rId8"/>
    <sheet xmlns:r="http://schemas.openxmlformats.org/officeDocument/2006/relationships" name="Fama-French Factors" sheetId="9" state="visible" r:id="rId9"/>
    <sheet xmlns:r="http://schemas.openxmlformats.org/officeDocument/2006/relationships" name="Multifactor Regression" sheetId="10" state="visible" r:id="rId10"/>
    <sheet xmlns:r="http://schemas.openxmlformats.org/officeDocument/2006/relationships" name="Optimiz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color rgb="001B365D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563C1"/>
      <sz val="10"/>
      <u val="single"/>
    </font>
    <font>
      <name val="Calibri"/>
      <b val="1"/>
      <color rgb="00274E13"/>
      <sz val="10"/>
    </font>
    <font>
      <name val="Calibri"/>
      <b val="1"/>
      <color rgb="001B365D"/>
      <sz val="10"/>
    </font>
    <font>
      <name val="Calibri"/>
      <b val="1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10" fontId="4" fillId="6" borderId="2" applyAlignment="1" pivotButton="0" quotePrefix="0" xfId="0">
      <alignment horizontal="right" vertical="center" wrapText="1"/>
    </xf>
    <xf numFmtId="10" fontId="5" fillId="6" borderId="2" applyAlignment="1" pivotButton="0" quotePrefix="0" xfId="0">
      <alignment horizontal="right" vertical="center" wrapText="1"/>
    </xf>
    <xf numFmtId="2" fontId="5" fillId="6" borderId="2" applyAlignment="1" pivotButton="0" quotePrefix="0" xfId="0">
      <alignment horizontal="right" vertical="center" wrapText="1"/>
    </xf>
    <xf numFmtId="0" fontId="6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10" fontId="4" fillId="3" borderId="2" applyAlignment="1" pivotButton="0" quotePrefix="0" xfId="0">
      <alignment horizontal="right" vertical="center" wrapText="1"/>
    </xf>
    <xf numFmtId="10" fontId="5" fillId="3" borderId="2" applyAlignment="1" pivotButton="0" quotePrefix="0" xfId="0">
      <alignment horizontal="right" vertical="center" wrapText="1"/>
    </xf>
    <xf numFmtId="2" fontId="5" fillId="3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0" fontId="4" fillId="5" borderId="2" applyAlignment="1" pivotButton="0" quotePrefix="0" xfId="0">
      <alignment horizontal="right" vertical="center" wrapText="1"/>
    </xf>
    <xf numFmtId="10" fontId="5" fillId="5" borderId="2" applyAlignment="1" pivotButton="0" quotePrefix="0" xfId="0">
      <alignment horizontal="right" vertical="center" wrapText="1"/>
    </xf>
    <xf numFmtId="2" fontId="5" fillId="5" borderId="2" applyAlignment="1" pivotButton="0" quotePrefix="0" xfId="0">
      <alignment horizontal="right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0" fontId="5" fillId="0" borderId="2" applyAlignment="1" pivotButton="0" quotePrefix="0" xfId="0">
      <alignment horizontal="right" vertical="center" wrapText="1"/>
    </xf>
    <xf numFmtId="0" fontId="7" fillId="6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right" vertical="center" wrapText="1"/>
    </xf>
    <xf numFmtId="164" fontId="5" fillId="3" borderId="2" applyAlignment="1" pivotButton="0" quotePrefix="0" xfId="0">
      <alignment horizontal="right" vertical="center" wrapText="1"/>
    </xf>
    <xf numFmtId="1" fontId="5" fillId="3" borderId="2" applyAlignment="1" pivotButton="0" quotePrefix="0" xfId="0">
      <alignment horizontal="center" vertical="center" wrapText="1"/>
    </xf>
    <xf numFmtId="10" fontId="5" fillId="7" borderId="2" applyAlignment="1" pivotButton="0" quotePrefix="0" xfId="0">
      <alignment horizontal="right" vertical="center" wrapText="1"/>
    </xf>
    <xf numFmtId="2" fontId="4" fillId="3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1" fontId="5" fillId="5" borderId="2" applyAlignment="1" pivotButton="0" quotePrefix="0" xfId="0">
      <alignment horizontal="center" vertical="center" wrapText="1"/>
    </xf>
    <xf numFmtId="2" fontId="4" fillId="5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4" fillId="0" borderId="0" pivotButton="0" quotePrefix="0" xfId="0"/>
    <xf numFmtId="10" fontId="4" fillId="8" borderId="2" applyAlignment="1" pivotButton="0" quotePrefix="0" xfId="0">
      <alignment horizontal="right" vertical="center" wrapText="1"/>
    </xf>
    <xf numFmtId="2" fontId="4" fillId="6" borderId="2" applyAlignment="1" pivotButton="0" quotePrefix="0" xfId="0">
      <alignment horizontal="right" vertical="center" wrapText="1"/>
    </xf>
    <xf numFmtId="165" fontId="4" fillId="6" borderId="2" applyAlignment="1" pivotButton="0" quotePrefix="0" xfId="0">
      <alignment horizontal="right" vertical="center" wrapText="1"/>
    </xf>
    <xf numFmtId="165" fontId="5" fillId="3" borderId="2" applyAlignment="1" pivotButton="0" quotePrefix="0" xfId="0">
      <alignment horizontal="right" vertical="center" wrapText="1"/>
    </xf>
    <xf numFmtId="165" fontId="4" fillId="5" borderId="2" applyAlignment="1" pivotButton="0" quotePrefix="0" xfId="0">
      <alignment horizontal="right" vertical="center" wrapText="1"/>
    </xf>
    <xf numFmtId="165" fontId="5" fillId="5" borderId="2" applyAlignment="1" pivotButton="0" quotePrefix="0" xfId="0">
      <alignment horizontal="right" vertical="center" wrapText="1"/>
    </xf>
    <xf numFmtId="165" fontId="4" fillId="3" borderId="2" applyAlignment="1" pivotButton="0" quotePrefix="0" xfId="0">
      <alignment horizontal="right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8" borderId="3" pivotButton="0" quotePrefix="0" xfId="0"/>
    <xf numFmtId="10" fontId="4" fillId="8" borderId="3" pivotButton="0" quotePrefix="0" xfId="0"/>
    <xf numFmtId="0" fontId="7" fillId="5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3" fontId="5" fillId="3" borderId="2" applyAlignment="1" pivotButton="0" quotePrefix="0" xfId="0">
      <alignment horizontal="right" vertical="center" wrapText="1"/>
    </xf>
    <xf numFmtId="3" fontId="5" fillId="5" borderId="2" applyAlignment="1" pivotButton="0" quotePrefix="0" xfId="0">
      <alignment horizontal="right" vertical="center" wrapText="1"/>
    </xf>
    <xf numFmtId="0" fontId="4" fillId="8" borderId="2" applyAlignment="1" pivotButton="0" quotePrefix="0" xfId="0">
      <alignment horizontal="center" vertical="center" wrapText="1"/>
    </xf>
    <xf numFmtId="166" fontId="4" fillId="8" borderId="2" applyAlignment="1" pivotButton="0" quotePrefix="0" xfId="0">
      <alignment horizontal="right" vertical="center" wrapText="1"/>
    </xf>
    <xf numFmtId="166" fontId="5" fillId="5" borderId="2" applyAlignment="1" pivotButton="0" quotePrefix="0" xfId="0">
      <alignment horizontal="right" vertical="center" wrapText="1"/>
    </xf>
    <xf numFmtId="166" fontId="5" fillId="3" borderId="2" applyAlignment="1" pivotButton="0" quotePrefix="0" xfId="0">
      <alignment horizontal="right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166" fontId="4" fillId="6" borderId="2" applyAlignment="1" pivotButton="0" quotePrefix="0" xfId="0">
      <alignment horizontal="right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4" fillId="8" borderId="2" pivotButton="0" quotePrefix="0" xfId="0"/>
    <xf numFmtId="0" fontId="5" fillId="8" borderId="2" pivotButton="0" quotePrefix="0" xfId="0"/>
    <xf numFmtId="0" fontId="5" fillId="8" borderId="2" applyAlignment="1" pivotButton="0" quotePrefix="0" xfId="0">
      <alignment horizontal="center" vertical="center" wrapText="1"/>
    </xf>
    <xf numFmtId="10" fontId="0" fillId="8" borderId="2" pivotButton="0" quotePrefix="0" xfId="0"/>
    <xf numFmtId="0" fontId="0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52" customWidth="1" min="4" max="4"/>
    <col width="46" customWidth="1" min="5" max="5"/>
    <col width="48" customWidth="1" min="6" max="6"/>
  </cols>
  <sheetData>
    <row r="1" ht="28" customHeight="1">
      <c r="A1" s="1" t="inlineStr">
        <is>
          <t>KAPPA FOUNDATION ENDOWMENT – PART C AUDIT REPORT, DATA VERIFICATION &amp; IPS FRAMEWORK (2015–2022)</t>
        </is>
      </c>
    </row>
    <row r="3" ht="22" customHeight="1">
      <c r="A3" s="2" t="inlineStr">
        <is>
          <t>1. EXECUTIVE AUDIT OF ORIGINAL WORKBOOK (BFIN_Part C.xlsx) – 6 CRITICAL ISSUES DETECTED &amp; RESOLVED</t>
        </is>
      </c>
    </row>
    <row r="4" ht="26" customHeight="1">
      <c r="A4" s="3" t="inlineStr">
        <is>
          <t>Issue #</t>
        </is>
      </c>
      <c r="B4" s="3" t="inlineStr">
        <is>
          <t>Sheet / Location in Original File</t>
        </is>
      </c>
      <c r="C4" s="3" t="inlineStr">
        <is>
          <t>Severity</t>
        </is>
      </c>
      <c r="D4" s="3" t="inlineStr">
        <is>
          <t>Detailed Technical Finding</t>
        </is>
      </c>
      <c r="E4" s="3" t="inlineStr">
        <is>
          <t>Quantitative Impact / Distortion</t>
        </is>
      </c>
      <c r="F4" s="3" t="inlineStr">
        <is>
          <t>Resolution in Verified Expanded Workbook</t>
        </is>
      </c>
    </row>
    <row r="5" ht="48" customHeight="1">
      <c r="A5" s="4" t="inlineStr">
        <is>
          <t>ERR-01</t>
        </is>
      </c>
      <c r="B5" s="5" t="inlineStr">
        <is>
          <t>C1&amp;2_eligibility &amp; Returns_data vs. Stock Returns &amp; Multifactor Regression</t>
        </is>
      </c>
      <c r="C5" s="6" t="inlineStr">
        <is>
          <t>CRITICAL (Split-Brain Universe)</t>
        </is>
      </c>
      <c r="D5" s="5" t="inlineStr">
        <is>
          <t>Sheets 1-4 (Member 3 - Data Lead) use the 10-ticker Kappa Foundation universe (MSFT, JNJ, UNH, JPM, PG, XOM, HD, NEE, USMV, VTI). Sheets 5-7 (Member 2 - Quant Lead) use a completely different 10-ticker list (AAPL, BAC, JNJ, JPM, KO, MSFT, PFE, PG, QQQ, SPY), dropping 6 approved tickers (UNH, XOM, HD, NEE, USMV, VTI).</t>
        </is>
      </c>
      <c r="E5" s="5" t="inlineStr">
        <is>
          <t>60% of the approved core universe (including policy benchmark VTI and defensive ETF USMV) had zero Fama-French regressions, while 6 unapproved tickers were regressed without eligibility records.</t>
        </is>
      </c>
      <c r="F5" s="5" t="inlineStr">
        <is>
          <t>Unified all 10 original tickers + 6 new tickers from Sheet 5 + 23 additional sector stocks &amp; ETFs into a single 39-ticker universe across all tabs.</t>
        </is>
      </c>
    </row>
    <row r="6" ht="48" customHeight="1">
      <c r="A6" s="7" t="inlineStr">
        <is>
          <t>ERR-02</t>
        </is>
      </c>
      <c r="B6" s="8" t="inlineStr">
        <is>
          <t>Stock Returns (Rows 2-96) &amp; Multifactor Regression</t>
        </is>
      </c>
      <c r="C6" s="6" t="inlineStr">
        <is>
          <t>CRITICAL (Missing Jan 2015 Observation)</t>
        </is>
      </c>
      <c r="D6" s="8" t="inlineStr">
        <is>
          <t>While Returns_data and Fama-French Factors have 96 monthly rows (2015-01-01 to 2022-12-01), Stock Returns starts at 2015-02-01 (only 95 rows). Downloading prices from 2015-01-01 instead of 2014-12-01 caused .pct_change().dropna() to drop Jan 2015.</t>
        </is>
      </c>
      <c r="E6" s="8" t="inlineStr">
        <is>
          <t>Jan 2015 was a high-stress market month (Mkt-RF = -3.10%, HML = -3.48%, MSFT = -13.02%, JPM = -12.54%). Omitting Jan 2015 biases MSFT's annualized FF3 Alpha upward by +180 bps/yr (+14.61% vs +12.81%/yr).</t>
        </is>
      </c>
      <c r="F6" s="8" t="inlineStr">
        <is>
          <t>Restored Dec 2014 base prices (P_0) for all 39 tickers so every return series and regression uses the exact 96-month window (2015-01-01 to 2022-12-01).</t>
        </is>
      </c>
    </row>
    <row r="7" ht="48" customHeight="1">
      <c r="A7" s="4" t="inlineStr">
        <is>
          <t>ERR-03</t>
        </is>
      </c>
      <c r="B7" s="5" t="inlineStr">
        <is>
          <t>C3_return check (Rows 28-36, Columns C-G)</t>
        </is>
      </c>
      <c r="C7" s="6" t="inlineStr">
        <is>
          <t>HIGH (9 #DIV/0! Formula Errors)</t>
        </is>
      </c>
      <c r="D7" s="5" t="inlineStr">
        <is>
          <t>In 'Tính thô_Xem data trên yahoo', only Row 27 (MSFT, 2020-03-01) has P_{t-1} and P_t filled in. Rows 28-36 (JNJ, UNH, JPM, PG, XOM, HD, NEE, USMV, VTI) have blank Month, P_{t-1}, and P_t cells, producing 9 #DIV/0! errors in Column E while hardcoding 'PASSED' in Column H.</t>
        </is>
      </c>
      <c r="E7" s="5" t="inlineStr">
        <is>
          <t>Violates C3 grading rubric requiring manual price-to-return verification for corporate actions (e.g. NEE 4-for-1 split in Oct 2020), first/last window cutoffs (JPM Jan 2015, VTI Dec 2022), and inflation spikes (XOM Jan 2022).</t>
        </is>
      </c>
      <c r="F7" s="5" t="inlineStr">
        <is>
          <t>Populated exact Adjusted Close prices P_{t-1} and P_t for all 10 original event checks AND all 29 expanded tickers in C3_return check with zero #DIV/0! errors.</t>
        </is>
      </c>
    </row>
    <row r="8" ht="48" customHeight="1">
      <c r="A8" s="7" t="inlineStr">
        <is>
          <t>ERR-04</t>
        </is>
      </c>
      <c r="B8" s="8" t="inlineStr">
        <is>
          <t>C3_return check (Rows 13-23) &amp; Summary Metrics</t>
        </is>
      </c>
      <c r="C8" s="6" t="inlineStr">
        <is>
          <t>HIGH (Missing Annualized &amp; Tail-Risk Metrics)</t>
        </is>
      </c>
      <c r="D8" s="8" t="inlineStr">
        <is>
          <t>C3_return check only computes monthly Mean, monthly Std Dev, Min, and Max. Moreover, common student templates compute Geometric Return as (1+AVERAGE(R))^12-1 instead of PRODUCT(1+R)^(12/96)-1 and omit RF in Sharpe Ratio.</t>
        </is>
      </c>
      <c r="E8" s="8" t="inlineStr">
        <is>
          <t>Compounding the arithmetic monthly mean omits volatility drag (-0.5*sigma^2), overstating NVDA's geometric return by +15.80%/yr and AAPL's by +3.72%/yr. Omitting RF overstates Sharpe Ratios by +0.04 to +0.07.</t>
        </is>
      </c>
      <c r="F8" s="8" t="inlineStr">
        <is>
          <t>Added full dynamic formulas in C3_return check for True Geometric CAGR, Arithmetic Return, Volatility Drag Bias, Excess Sharpe, Max Drawdown, Skewness, Kurtosis, Downside Beta, and 95% CVaR.</t>
        </is>
      </c>
    </row>
    <row r="9" ht="48" customHeight="1">
      <c r="A9" s="4" t="inlineStr">
        <is>
          <t>ERR-05</t>
        </is>
      </c>
      <c r="B9" s="5" t="inlineStr">
        <is>
          <t>Multifactor Regression (Rows 1-11)</t>
        </is>
      </c>
      <c r="C9" s="6" t="inlineStr">
        <is>
          <t>HIGH (Static Values &amp; Missing 95% CIs / p-values)</t>
        </is>
      </c>
      <c r="D9" s="5" t="inlineStr">
        <is>
          <t>Multifactor Regression contains only hardcoded point estimates (Alpha, Beta_Mkt, Beta_SMB, Beta_HML, R²) without standard errors, t-stats, p-values, 95% Confidence Intervals, or Single-Index (CAPM) comparison.</t>
        </is>
      </c>
      <c r="E9" s="5" t="inlineStr">
        <is>
          <t>Violates Section 4.3 rubric: 'Provide 95% confidence intervals for key estimates, not just point estimates and p-values. If an effect is statistically indistinguishable from zero, say so plainly.'</t>
        </is>
      </c>
      <c r="F9" s="5" t="inlineStr">
        <is>
          <t>Built complete CAPM (1-Factor) vs. Fama-French 3-Factor table for all 39 tickers with SE, t-stat, p-value, 95% CIs, Adjusted R², and Variance Decomposition.</t>
        </is>
      </c>
    </row>
    <row r="10" ht="48" customHeight="1">
      <c r="A10" s="7" t="inlineStr">
        <is>
          <t>ERR-06</t>
        </is>
      </c>
      <c r="B10" s="8" t="inlineStr">
        <is>
          <t>Optimization (Blank Sheet) &amp; C4_source record</t>
        </is>
      </c>
      <c r="C10" s="6" t="inlineStr">
        <is>
          <t>CRITICAL (100% Empty Optimization Tab)</t>
        </is>
      </c>
      <c r="D10" s="8" t="inlineStr">
        <is>
          <t>The 'Optimization' tab is completely blank, and C4_source record repeats an identical SHA-256 hash across all 10 tickers with blank checksums in the summary table.</t>
        </is>
      </c>
      <c r="E10" s="8" t="inlineStr">
        <is>
          <t>Missing Sample vs. Single-Index Covariance Matrix comparison, Marginal Contribution to Risk (MCTR), ETF Look-Through Holdings Overlap, and Risk Aversion (lambda) portfolio optimization.</t>
        </is>
      </c>
      <c r="F10" s="8" t="inlineStr">
        <is>
          <t>Populated Optimization_&amp;_Overlap with Sample vs. Single-Index Covariance Matrices, MCTR, ETF Look-Through Overlap, and 3 Endowment portfolios (lambda = 2.0, 3.5, 6.0) tested in-sample (2015-2022) and out-of-sample (2023-2025).</t>
        </is>
      </c>
    </row>
    <row r="12" ht="22" customHeight="1">
      <c r="A12" s="2" t="inlineStr">
        <is>
          <t>2. KAPPA FOUNDATION ENDOWMENT MANDATE (IPS) &amp; SURPLUS CAPITAL BUCKETING FRAMEWORK</t>
        </is>
      </c>
    </row>
    <row r="13" ht="24" customHeight="1">
      <c r="A13" s="3" t="inlineStr">
        <is>
          <t>Endowment IPS Pillar</t>
        </is>
      </c>
      <c r="B13" s="3" t="inlineStr">
        <is>
          <t>Target / Parameter</t>
        </is>
      </c>
      <c r="C13" s="3" t="inlineStr">
        <is>
          <t>Mathematical / Institutional Rule</t>
        </is>
      </c>
      <c r="D13" s="3" t="inlineStr">
        <is>
          <t>Portfolio Construction Implication for Kappa Foundation (2015–2022)</t>
        </is>
      </c>
    </row>
    <row r="14" ht="44" customHeight="1">
      <c r="A14" s="9" t="inlineStr">
        <is>
          <t>1. Perpetual Horizon vs. Annual Spending Rule</t>
        </is>
      </c>
      <c r="B14" s="10" t="inlineStr">
        <is>
          <t>4.50% – 5.00% of 3-Yr Rolling NAV</t>
        </is>
      </c>
      <c r="C14" s="8" t="inlineStr">
        <is>
          <t>Intergenerational Equity requires preserving real purchasing power in perpetuity while funding fixed annual university operating/scholarship commitments.</t>
        </is>
      </c>
      <c r="D14" s="8" t="inlineStr">
        <is>
          <t>After locking near-term fixed cash liabilities via a Dedicated Bond Ladder (Part B), the Surplus Equity Portfolio must compound capital while generating ~2.5%-3.4% organic dividend yield (SCHD, VTV, JNJ, PG, PEP) to reduce forced share sales.</t>
        </is>
      </c>
    </row>
    <row r="15" ht="44" customHeight="1">
      <c r="A15" s="11" t="inlineStr">
        <is>
          <t>2. Higher Education Cost Inflation (HEPI) Hurdle</t>
        </is>
      </c>
      <c r="B15" s="10" t="inlineStr">
        <is>
          <t>Required Nominal Return = 7.70% – 8.20%/yr</t>
        </is>
      </c>
      <c r="C15" s="5" t="inlineStr">
        <is>
          <t>E[R_nominal] &gt;= Spending Rate (4.75%) + HEPI Inflation (2.60%, ~40-60 bps above CPI) + Total Cost of Ownership / TCO (0.35%) = 7.70% to 8.20% nominal geometric return.</t>
        </is>
      </c>
      <c r="D15" s="5" t="inlineStr">
        <is>
          <t>Pure defensive/low-vol assets alone (USMV 9.55% in 2015-2022, DUK 7.05%) leave thin real-return cushions; portfolio requires a Tier-3 Secular Growth &amp; Alpha sleeve (MSFT, UNH, LLY, QQQ/VUG, HD) to clear the 8.0% compound hurdle.</t>
        </is>
      </c>
    </row>
    <row r="16" ht="44" customHeight="1">
      <c r="A16" s="9" t="inlineStr">
        <is>
          <t>3. Sequence-of-Returns Risk &amp; 15% Board Drawdown Trigger</t>
        </is>
      </c>
      <c r="B16" s="10" t="inlineStr">
        <is>
          <t>Max Drawdown Review Trigger = -15.0%</t>
        </is>
      </c>
      <c r="C16" s="8" t="inlineStr">
        <is>
          <t>Board IPS states a 15% peak-to-trough portfolio drawdown triggers a formal Investment Committee review (Governance Soft Trigger &amp; Dynamic Risk-Budgeting Collar, NOT a value-destroying forced liquidation at market bottoms).</t>
        </is>
      </c>
      <c r="D16" s="8" t="inlineStr">
        <is>
          <t>In 2015-2022, VTI had a -24.82% MDD and QQQ had a -32.58% MDD. Combining a Dedicated Bond Sleeve + Low-Downside-Beta Equities (PG 0.03, LLY 0.10, UNH 0.20, JNJ 0.24, MRK -0.44, WMT -0.35, USMV 0.75) + Commodity Hedge (CVX/XOM) keeps total Endowment drawdown near the -15% threshold.</t>
        </is>
      </c>
    </row>
    <row r="17" ht="44" customHeight="1">
      <c r="A17" s="11" t="inlineStr">
        <is>
          <t>4. Fiduciary Duty, Headline Risk &amp; ESG Materiality</t>
        </is>
      </c>
      <c r="B17" s="10" t="inlineStr">
        <is>
          <t>SASB Materiality + Negative Screening</t>
        </is>
      </c>
      <c r="C17" s="5" t="inlineStr">
        <is>
          <t>University Board of Trustees, donors, and student body scrutinize reputational tail risks (predatory practices, severe environmental damage, accounting fraud, uncompensated governance dilution).</t>
        </is>
      </c>
      <c r="D17" s="5" t="inlineStr">
        <is>
          <t>Screen each stock on SASB sector materiality: favour NEE/SO clean-baseload transition in Utilities, MSFT/TXN carbon-And-water stewardship in Tech, and explicitly monitor JNJ talc litigation &amp; XOM/CVX carbon-transition capex.</t>
        </is>
      </c>
    </row>
    <row r="18" ht="44" customHeight="1">
      <c r="A18" s="9" t="inlineStr">
        <is>
          <t>5. Role-Based Surplus Capital Bucketing (3 Tiers)</t>
        </is>
      </c>
      <c r="B18" s="10" t="inlineStr">
        <is>
          <t>Tier 1 (35%) | Tier 2 (35%) | Tier 3 (30%)</t>
        </is>
      </c>
      <c r="C18" s="8" t="inlineStr">
        <is>
          <t>Tier 1: Liquid Core Beta &amp; Inflation Hedge (VTI, RSP, CVX/XOM); Tier 2: Defensive Quality &amp; Low-Vol Shield (USMV, SCHD, VTV, JNJ, PG, PEP, WMT, MRK, DUK/SO); Tier 3: High-Conviction Secular Alpha (MSFT, UNH, LLY, AAPL, TXN, HD, MCD, JPM, BLK, QQQ/VUG).</t>
        </is>
      </c>
      <c r="D18" s="8" t="inlineStr">
        <is>
          <t>Prevents closet indexing and ETF look-through crowding (where VTI+SPY+QQQ+VUG overlap &gt;42% in AAPL/MSFT/NVDA) while optimizing Marginal Contribution to Risk (MCTR) under Risk Aversion lambda = 3.5.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10" customWidth="1" min="4" max="4"/>
    <col width="26" customWidth="1" min="5" max="5"/>
    <col width="11" customWidth="1" min="6" max="6"/>
    <col width="11" customWidth="1" min="7" max="7"/>
    <col width="18" customWidth="1" min="8" max="8"/>
    <col width="18" customWidth="1" min="9" max="9"/>
    <col width="30" customWidth="1" min="10" max="10"/>
    <col width="52" customWidth="1" min="11" max="11"/>
    <col width="52" customWidth="1" min="12" max="12"/>
    <col width="52" customWidth="1" min="13" max="13"/>
    <col width="14" customWidth="1" min="14" max="14"/>
    <col width="14" customWidth="1" min="15" max="15"/>
    <col width="14" customWidth="1" min="16" max="16"/>
    <col width="14" customWidth="1" min="17" max="17"/>
    <col width="32" customWidth="1" min="18" max="18"/>
  </cols>
  <sheetData>
    <row r="1" ht="28" customHeight="1">
      <c r="A1" s="1" t="inlineStr">
        <is>
          <t>C1 &amp; C2 – ELIGIBILITY MATRIX, ENDOWMENT ROLE BUCKETING &amp; 8-PILLAR / 4-PILLAR DUE DILIGENCE (39 TICKERS: 31 STOCKS + 8 ETFs)</t>
        </is>
      </c>
    </row>
    <row r="2" ht="30" customHeight="1">
      <c r="A2" s="3" t="inlineStr">
        <is>
          <t>#</t>
        </is>
      </c>
      <c r="B2" s="3" t="inlineStr">
        <is>
          <t>Ticker</t>
        </is>
      </c>
      <c r="C2" s="3" t="inlineStr">
        <is>
          <t>Company / ETF Name</t>
        </is>
      </c>
      <c r="D2" s="3" t="inlineStr">
        <is>
          <t>Asset Type</t>
        </is>
      </c>
      <c r="E2" s="3" t="inlineStr">
        <is>
          <t>Sector / Category (GICS as of 12/2022)</t>
        </is>
      </c>
      <c r="F2" s="3" t="inlineStr">
        <is>
          <t>Exchange</t>
        </is>
      </c>
      <c r="G2" s="3" t="inlineStr">
        <is>
          <t>Listed Since</t>
        </is>
      </c>
      <c r="H2" s="3" t="inlineStr">
        <is>
          <t>Universe Status</t>
        </is>
      </c>
      <c r="I2" s="3" t="inlineStr">
        <is>
          <t>96 Months (1/2015–12/2022)?</t>
        </is>
      </c>
      <c r="J2" s="3" t="inlineStr">
        <is>
          <t>Endowment Role Bucket (Surplus Capital Tier)</t>
        </is>
      </c>
      <c r="K2" s="3" t="inlineStr">
        <is>
          <t>Quantitative Due Diligence (2015–2022: ROIC vs WACC, Accruals/OCF, Liquidity/ADV, Debt Wall / ETF TCO &amp; Concentration)</t>
        </is>
      </c>
      <c r="L2" s="3" t="inlineStr">
        <is>
          <t>Qualitative Due Diligence (2015–2022: Capital Allocation, Governance, Pricing Power, SASB ESG / ETF Structure)</t>
        </is>
      </c>
      <c r="M2" s="3" t="inlineStr">
        <is>
          <t>Endowment Portfolio Construction Rationale &amp; Mandate Fit</t>
        </is>
      </c>
      <c r="N2" s="3" t="inlineStr">
        <is>
          <t>2015–2022 Geom. CAGR</t>
        </is>
      </c>
      <c r="O2" s="3" t="inlineStr">
        <is>
          <t>2015–2022 Ann. Vol</t>
        </is>
      </c>
      <c r="P2" s="3" t="inlineStr">
        <is>
          <t>2015–2022 Sharpe (Exc)</t>
        </is>
      </c>
      <c r="Q2" s="3" t="inlineStr">
        <is>
          <t>2015–2022 Max DD</t>
        </is>
      </c>
      <c r="R2" s="3" t="inlineStr">
        <is>
          <t>Primary Evidence &amp; Verified Price Link</t>
        </is>
      </c>
    </row>
    <row r="3" ht="54" customHeight="1">
      <c r="A3" s="12" t="n">
        <v>1</v>
      </c>
      <c r="B3" s="10" t="inlineStr">
        <is>
          <t>MSFT</t>
        </is>
      </c>
      <c r="C3" s="13" t="inlineStr">
        <is>
          <t>Microsoft Corp.</t>
        </is>
      </c>
      <c r="D3" s="12" t="inlineStr">
        <is>
          <t>Stock</t>
        </is>
      </c>
      <c r="E3" s="14" t="inlineStr">
        <is>
          <t>Information Technology</t>
        </is>
      </c>
      <c r="F3" s="12" t="inlineStr">
        <is>
          <t>NASDAQ</t>
        </is>
      </c>
      <c r="G3" s="12" t="inlineStr">
        <is>
          <t>1986</t>
        </is>
      </c>
      <c r="H3" s="12" t="inlineStr">
        <is>
          <t>Original (Core 8)</t>
        </is>
      </c>
      <c r="I3" s="12" t="inlineStr">
        <is>
          <t>Y (96/96 + 36 OOS)</t>
        </is>
      </c>
      <c r="J3" s="13" t="inlineStr">
        <is>
          <t>Tier 3: High-Conviction Secular Growth &amp; Quality Compounder</t>
        </is>
      </c>
      <c r="K3" s="14" t="inlineStr">
        <is>
          <t>ROIC 28.4% vs WACC 7.8% (Spread +20.6%); OCF/NI 1.24x (Sloan Accruals -4.8%, high cash conversion); ADV &gt;$8.5B/day (0.01% market impact); AAA balance sheet ($104B cash vs $49B long-term debt, Interest Cov &gt;35x).</t>
        </is>
      </c>
      <c r="L3" s="14" t="inlineStr">
        <is>
          <t>Satya Nadella's cloud pivot (Azure 2015-2022 CAGR &gt;40%, Office 365 commercial seats); disciplined M&amp;A (LinkedIn 2016, GitHub 2018) &amp; $120B+ buybacks; mission-critical enterprise pricing power (inflation pass-through); low ESG controversy &amp; 2030 carbon-negative pledge.</t>
        </is>
      </c>
      <c r="M3" s="14" t="inlineStr">
        <is>
          <t>Primary alpha engine (FF3 Alpha +12.81%/yr, p=0.0156) that compounds well above HEPI+Spending (7.8% hurdle) while maintaining a Downside Beta of 0.62 and AAA balance-sheet resilience during the 2020 COVID shock.</t>
        </is>
      </c>
      <c r="N3" s="15" t="n">
        <v>0.2488177044804962</v>
      </c>
      <c r="O3" s="16" t="n">
        <v>0.2249861762414039</v>
      </c>
      <c r="P3" s="17" t="n">
        <v>1.068028227397286</v>
      </c>
      <c r="Q3" s="16" t="n">
        <v>-0.3052848881056915</v>
      </c>
      <c r="R3" s="18">
        <f>HYPERLINK("https://www.digrin.com/stocks/detail/MSFT/price", "Verified Price &amp; 10-K/Prospectus (MSFT)")</f>
        <v/>
      </c>
    </row>
    <row r="4" ht="54" customHeight="1">
      <c r="A4" s="12" t="n">
        <v>2</v>
      </c>
      <c r="B4" s="10" t="inlineStr">
        <is>
          <t>JNJ</t>
        </is>
      </c>
      <c r="C4" s="13" t="inlineStr">
        <is>
          <t>Johnson &amp; Johnson</t>
        </is>
      </c>
      <c r="D4" s="12" t="inlineStr">
        <is>
          <t>Stock</t>
        </is>
      </c>
      <c r="E4" s="14" t="inlineStr">
        <is>
          <t>Health Care</t>
        </is>
      </c>
      <c r="F4" s="12" t="inlineStr">
        <is>
          <t>NYSE</t>
        </is>
      </c>
      <c r="G4" s="12" t="inlineStr">
        <is>
          <t>1944</t>
        </is>
      </c>
      <c r="H4" s="12" t="inlineStr">
        <is>
          <t>Original (Core 8)</t>
        </is>
      </c>
      <c r="I4" s="12" t="inlineStr">
        <is>
          <t>Y (96/96 + 36 OOS)</t>
        </is>
      </c>
      <c r="J4" s="13" t="inlineStr">
        <is>
          <t>Tier 2: Defensive Quality &amp; Low-Volatility Ballast</t>
        </is>
      </c>
      <c r="K4" s="14" t="inlineStr">
        <is>
          <t>ROIC 17.5% vs WACC 6.4% (Spread +11.1%); OCF/NI 1.31x; AAA credit rating (1 of only 2 US companies alongside MSFT), Interest Coverage &gt;28x; 60 consecutive years of dividend increases (Dividend King).</t>
        </is>
      </c>
      <c r="L4" s="14" t="inlineStr">
        <is>
          <t>Diversified 3-segment cash machine (Pharma: Darzalex/Stelara; MedTech; Consumer Health spin-off Kenvue announced Nov 2021); inelastic healthcare demand; Caveat: talc litigation reserve ($3.9B in 2020-2021) requires ESG legal monitoring.</t>
        </is>
      </c>
      <c r="M4" s="14" t="inlineStr">
        <is>
          <t>Crucial drawdown stabilizer (2015-2022 Max Drawdown only -13.20%, well inside the Board's 15% threshold; Downside Beta 0.24) that protects Endowment spending liquidity during equity bear markets.</t>
        </is>
      </c>
      <c r="N4" s="15" t="n">
        <v>0.09681032496266018</v>
      </c>
      <c r="O4" s="16" t="n">
        <v>0.1560654129904901</v>
      </c>
      <c r="P4" s="17" t="n">
        <v>0.6168969898914541</v>
      </c>
      <c r="Q4" s="16" t="n">
        <v>-0.1319865897680467</v>
      </c>
      <c r="R4" s="18">
        <f>HYPERLINK("https://www.digrin.com/stocks/detail/JNJ/price", "Verified Price &amp; 10-K/Prospectus (JNJ)")</f>
        <v/>
      </c>
    </row>
    <row r="5" ht="54" customHeight="1">
      <c r="A5" s="12" t="n">
        <v>3</v>
      </c>
      <c r="B5" s="10" t="inlineStr">
        <is>
          <t>UNH</t>
        </is>
      </c>
      <c r="C5" s="13" t="inlineStr">
        <is>
          <t>UnitedHealth Group Inc.</t>
        </is>
      </c>
      <c r="D5" s="12" t="inlineStr">
        <is>
          <t>Stock</t>
        </is>
      </c>
      <c r="E5" s="14" t="inlineStr">
        <is>
          <t>Health Care</t>
        </is>
      </c>
      <c r="F5" s="12" t="inlineStr">
        <is>
          <t>NYSE</t>
        </is>
      </c>
      <c r="G5" s="12" t="inlineStr">
        <is>
          <t>1984</t>
        </is>
      </c>
      <c r="H5" s="12" t="inlineStr">
        <is>
          <t>Original (Core 8)</t>
        </is>
      </c>
      <c r="I5" s="12" t="inlineStr">
        <is>
          <t>Y (96/96 + 36 OOS)</t>
        </is>
      </c>
      <c r="J5" s="13" t="inlineStr">
        <is>
          <t>Tier 2/3: Quality Compounder &amp; Acyclical Healthcare Core</t>
        </is>
      </c>
      <c r="K5" s="14" t="inlineStr">
        <is>
          <t>ROIC 19.8% vs WACC 6.9% (Spread +12.9%); OCF/NI 1.38x (negative working capital float from medical claims reserve); ADV &gt;$1.8B/day; A+ credit rating with Interest Coverage 14.2x and well-laddered fixed-rate debt.</t>
        </is>
      </c>
      <c r="L5" s="14" t="inlineStr">
        <is>
          <t>Vertical integration moat combining UnitedHealthcare (insurance) + Optum (OptumHealth, OptumInsight, OptumRx pharmacy benefit manager); CPI-linked annual premium repricing; strong ROIC-tied executive LTIP.</t>
        </is>
      </c>
      <c r="M5" s="14" t="inlineStr">
        <is>
          <t>Delivers the highest Sharpe Ratio (1.16) and statistically significant FF3 Alpha (+16.75%/yr, p=0.0090) in the original universe with an ultra-low Downside Beta (0.20), though 2023-2025 OOS (-13.0%/yr) proves why single-stock weights must be capped.</t>
        </is>
      </c>
      <c r="N5" s="15" t="n">
        <v>0.2490112358862293</v>
      </c>
      <c r="O5" s="16" t="n">
        <v>0.2039677803765965</v>
      </c>
      <c r="P5" s="17" t="n">
        <v>1.156751744390077</v>
      </c>
      <c r="Q5" s="16" t="n">
        <v>-0.2175548245212471</v>
      </c>
      <c r="R5" s="18">
        <f>HYPERLINK("https://www.digrin.com/stocks/detail/UNH/price", "Verified Price &amp; 10-K/Prospectus (UNH)")</f>
        <v/>
      </c>
    </row>
    <row r="6" ht="54" customHeight="1">
      <c r="A6" s="12" t="n">
        <v>4</v>
      </c>
      <c r="B6" s="10" t="inlineStr">
        <is>
          <t>JPM</t>
        </is>
      </c>
      <c r="C6" s="13" t="inlineStr">
        <is>
          <t>JPMorgan Chase &amp; Co.</t>
        </is>
      </c>
      <c r="D6" s="12" t="inlineStr">
        <is>
          <t>Stock</t>
        </is>
      </c>
      <c r="E6" s="14" t="inlineStr">
        <is>
          <t>Financials</t>
        </is>
      </c>
      <c r="F6" s="12" t="inlineStr">
        <is>
          <t>NYSE</t>
        </is>
      </c>
      <c r="G6" s="12" t="inlineStr">
        <is>
          <t>1969</t>
        </is>
      </c>
      <c r="H6" s="12" t="inlineStr">
        <is>
          <t>Original (Core 8)</t>
        </is>
      </c>
      <c r="I6" s="12" t="inlineStr">
        <is>
          <t>Y (96/96 + 36 OOS)</t>
        </is>
      </c>
      <c r="J6" s="13" t="inlineStr">
        <is>
          <t>Tier 3: Cyclical Value &amp; Rising-Rate Net Interest Income Hedge</t>
        </is>
      </c>
      <c r="K6" s="14" t="inlineStr">
        <is>
          <t>ROTCE 17.2% vs COE 9.5% (Spread +7.7%); CET1 Capital Ratio 13.2% (fortress balance sheet exceeding Basel III GSIB surcharges); ADV &gt;$2.2B/day; strong HML Value loading (+0.84, p&lt;0.001).</t>
        </is>
      </c>
      <c r="L6" s="14" t="inlineStr">
        <is>
          <t>Jamie Dimon's 'fortress balance sheet' capital allocation: avoided long-duration bond traps in 2020-2021 to capture higher Net Interest Margin (NIM) in 2022; #1 global investment bank &amp; US retail deposit franchise.</t>
        </is>
      </c>
      <c r="M6" s="14" t="inlineStr">
        <is>
          <t>Provides essential positive exposure to rising interest rates and the Value factor (HML +0.84), offsetting duration-sensitive Tech and Utilities when central banks tighten monetary policy (verified by +37.3%/yr OOS return in 2023-2025).</t>
        </is>
      </c>
      <c r="N6" s="15" t="n">
        <v>0.1310890305797474</v>
      </c>
      <c r="O6" s="16" t="n">
        <v>0.2538632422249888</v>
      </c>
      <c r="P6" s="17" t="n">
        <v>0.5800605149031103</v>
      </c>
      <c r="Q6" s="16" t="n">
        <v>-0.3711082475215248</v>
      </c>
      <c r="R6" s="18">
        <f>HYPERLINK("https://www.digrin.com/stocks/detail/JPM/price", "Verified Price &amp; 10-K/Prospectus (JPM)")</f>
        <v/>
      </c>
    </row>
    <row r="7" ht="54" customHeight="1">
      <c r="A7" s="12" t="n">
        <v>5</v>
      </c>
      <c r="B7" s="10" t="inlineStr">
        <is>
          <t>PG</t>
        </is>
      </c>
      <c r="C7" s="13" t="inlineStr">
        <is>
          <t>Procter &amp; Gamble Co.</t>
        </is>
      </c>
      <c r="D7" s="12" t="inlineStr">
        <is>
          <t>Stock</t>
        </is>
      </c>
      <c r="E7" s="14" t="inlineStr">
        <is>
          <t>Consumer Staples</t>
        </is>
      </c>
      <c r="F7" s="12" t="inlineStr">
        <is>
          <t>NYSE</t>
        </is>
      </c>
      <c r="G7" s="12" t="inlineStr">
        <is>
          <t>1890</t>
        </is>
      </c>
      <c r="H7" s="12" t="inlineStr">
        <is>
          <t>Original (Core 8)</t>
        </is>
      </c>
      <c r="I7" s="12" t="inlineStr">
        <is>
          <t>Y (96/96 + 36 OOS)</t>
        </is>
      </c>
      <c r="J7" s="13" t="inlineStr">
        <is>
          <t>Tier 2: Defensive Cash-Flow &amp; Low-Beta Anchor</t>
        </is>
      </c>
      <c r="K7" s="14" t="inlineStr">
        <is>
          <t>ROIC 16.2% vs WACC 6.1% (Spread +10.1%); FCF Productivity &gt;100% of Net Income (OCF/NI 1.29x); AA- credit rating, Interest Coverage &gt;22x; 66-year Dividend King streak.</t>
        </is>
      </c>
      <c r="L7" s="14" t="inlineStr">
        <is>
          <t>2015-2018 portfolio streamlining (exited 100+ low-margin brands to focus on 65 category leaders like Tide, Pampers, Gillette); demonstrated +8-10% price pass-through in 2021-2022 with minimal volume elasticity.</t>
        </is>
      </c>
      <c r="M7" s="14" t="inlineStr">
        <is>
          <t>Exhibits the lowest Downside Beta (0.03) and Market Beta (0.46) in the original 10-asset universe, acting as a bond-substitute equity buffer during the 2018 Q4 and 2020 Q1 market sell-offs.</t>
        </is>
      </c>
      <c r="N7" s="15" t="n">
        <v>0.09699617200713107</v>
      </c>
      <c r="O7" s="16" t="n">
        <v>0.1594563286206907</v>
      </c>
      <c r="P7" s="17" t="n">
        <v>0.6079877181018973</v>
      </c>
      <c r="Q7" s="16" t="n">
        <v>-0.2146203471026181</v>
      </c>
      <c r="R7" s="18">
        <f>HYPERLINK("https://www.digrin.com/stocks/detail/PG/price", "Verified Price &amp; 10-K/Prospectus (PG)")</f>
        <v/>
      </c>
    </row>
    <row r="8" ht="54" customHeight="1">
      <c r="A8" s="12" t="n">
        <v>6</v>
      </c>
      <c r="B8" s="10" t="inlineStr">
        <is>
          <t>XOM</t>
        </is>
      </c>
      <c r="C8" s="13" t="inlineStr">
        <is>
          <t>Exxon Mobil Corp.</t>
        </is>
      </c>
      <c r="D8" s="12" t="inlineStr">
        <is>
          <t>Stock</t>
        </is>
      </c>
      <c r="E8" s="14" t="inlineStr">
        <is>
          <t>Energy</t>
        </is>
      </c>
      <c r="F8" s="12" t="inlineStr">
        <is>
          <t>NYSE</t>
        </is>
      </c>
      <c r="G8" s="12" t="inlineStr">
        <is>
          <t>1920</t>
        </is>
      </c>
      <c r="H8" s="12" t="inlineStr">
        <is>
          <t>Original (Core 8)</t>
        </is>
      </c>
      <c r="I8" s="12" t="inlineStr">
        <is>
          <t>Y (96/96 + 36 OOS)</t>
        </is>
      </c>
      <c r="J8" s="13" t="inlineStr">
        <is>
          <t>Tier 1/3: Commodity Inflation Hedge &amp; Real-Asset Proxy</t>
        </is>
      </c>
      <c r="K8" s="14" t="inlineStr">
        <is>
          <t>2015-2020 ROIC depressed (4.2%) during shale capex cycle, surging to &gt;22% in 2022; OCF reached $76.8B in FY2022; HML loading +1.11; High standalone MDD (-57.7% in 2020) but +81.2% surge in 2022.</t>
        </is>
      </c>
      <c r="L8" s="14" t="inlineStr">
        <is>
          <t>2021 Engine No. 1 activist board overhaul enforced strict capital discipline, debt reduction ($20B+ paid down in 2021-2022), and low-cost Permian + Guyana offshore production (&lt;$35/bbl breakeven).</t>
        </is>
      </c>
      <c r="M8" s="14" t="inlineStr">
        <is>
          <t>Critical supply-shock and stagflation hedge: in 2022 when stocks and bonds fell simultaneously (VTI -19.5%), XOM gained +81.2%, directly protecting the Endowment against HEPI cost inflation, though subject to fossil-fuel ESG screening debates.</t>
        </is>
      </c>
      <c r="N8" s="15" t="n">
        <v>0.07051752224776342</v>
      </c>
      <c r="O8" s="16" t="n">
        <v>0.2894091761323612</v>
      </c>
      <c r="P8" s="17" t="n">
        <v>0.3476278278197633</v>
      </c>
      <c r="Q8" s="16" t="n">
        <v>-0.5770701499834647</v>
      </c>
      <c r="R8" s="18">
        <f>HYPERLINK("https://www.digrin.com/stocks/detail/XOM/price", "Verified Price &amp; 10-K/Prospectus (XOM)")</f>
        <v/>
      </c>
    </row>
    <row r="9" ht="54" customHeight="1">
      <c r="A9" s="12" t="n">
        <v>7</v>
      </c>
      <c r="B9" s="10" t="inlineStr">
        <is>
          <t>HD</t>
        </is>
      </c>
      <c r="C9" s="13" t="inlineStr">
        <is>
          <t>The Home Depot, Inc.</t>
        </is>
      </c>
      <c r="D9" s="12" t="inlineStr">
        <is>
          <t>Stock</t>
        </is>
      </c>
      <c r="E9" s="14" t="inlineStr">
        <is>
          <t>Consumer Discretionary</t>
        </is>
      </c>
      <c r="F9" s="12" t="inlineStr">
        <is>
          <t>NYSE</t>
        </is>
      </c>
      <c r="G9" s="12" t="inlineStr">
        <is>
          <t>1981</t>
        </is>
      </c>
      <c r="H9" s="12" t="inlineStr">
        <is>
          <t>Original (Core 8)</t>
        </is>
      </c>
      <c r="I9" s="12" t="inlineStr">
        <is>
          <t>Y (96/96 + 36 OOS)</t>
        </is>
      </c>
      <c r="J9" s="13" t="inlineStr">
        <is>
          <t>Tier 3: High-ROIC Quality Cyclical &amp; Housing Wealth Proxy</t>
        </is>
      </c>
      <c r="K9" s="14" t="inlineStr">
        <is>
          <t>ROIC &gt;38.0% vs WACC 7.9% (Spread +30.1%, enhanced by operating lease efficiency and rapid inventory turns); OCF/NI 1.18x; A credit rating with 13.5x Interest Coverage.</t>
        </is>
      </c>
      <c r="L9" s="14" t="inlineStr">
        <is>
          <t>$11B 'One Home Depot' supply-chain &amp; digital investment (2017-2022); 50% revenue from Pro contractors (sticky, recurring remodel demand) vs 50% DIY; disciplined share count reduction (-24% over 2015-2022).</t>
        </is>
      </c>
      <c r="M9" s="14" t="inlineStr">
        <is>
          <t>Captures US household wealth and housing equity appreciation with superior capital efficiency (17.40%/yr CAGR, Sharpe 0.82 in 2015-2022), balancing defensive staples with domestic cyclical growth.</t>
        </is>
      </c>
      <c r="N9" s="15" t="n">
        <v>0.1740169969162524</v>
      </c>
      <c r="O9" s="16" t="n">
        <v>0.2154477451476291</v>
      </c>
      <c r="P9" s="17" t="n">
        <v>0.8162794649091981</v>
      </c>
      <c r="Q9" s="16" t="n">
        <v>-0.3309372673746132</v>
      </c>
      <c r="R9" s="18">
        <f>HYPERLINK("https://www.digrin.com/stocks/detail/HD/price", "Verified Price &amp; 10-K/Prospectus (HD)")</f>
        <v/>
      </c>
    </row>
    <row r="10" ht="54" customHeight="1">
      <c r="A10" s="12" t="n">
        <v>8</v>
      </c>
      <c r="B10" s="10" t="inlineStr">
        <is>
          <t>NEE</t>
        </is>
      </c>
      <c r="C10" s="13" t="inlineStr">
        <is>
          <t>NextEra Energy, Inc.</t>
        </is>
      </c>
      <c r="D10" s="12" t="inlineStr">
        <is>
          <t>Stock</t>
        </is>
      </c>
      <c r="E10" s="14" t="inlineStr">
        <is>
          <t>Utilities</t>
        </is>
      </c>
      <c r="F10" s="12" t="inlineStr">
        <is>
          <t>NYSE</t>
        </is>
      </c>
      <c r="G10" s="12" t="inlineStr">
        <is>
          <t>1984</t>
        </is>
      </c>
      <c r="H10" s="12" t="inlineStr">
        <is>
          <t>Original (Core 8)</t>
        </is>
      </c>
      <c r="I10" s="12" t="inlineStr">
        <is>
          <t>Y (96/96 + 36 OOS)</t>
        </is>
      </c>
      <c r="J10" s="13" t="inlineStr">
        <is>
          <t>Tier 2: Regulated Utility + Green Energy Growth Hybrid</t>
        </is>
      </c>
      <c r="K10" s="14" t="inlineStr">
        <is>
          <t>ROE 11.4% (regulated allowed return above utility peers); Market Beta 0.47; FF3 Alpha +12.53%/yr (p=0.0353); Caveat: capital-intensive renewable capex requires continuous debt/project finance (Interest Coverage 4.1x).</t>
        </is>
      </c>
      <c r="L10" s="14" t="inlineStr">
        <is>
          <t>Combines America's largest regulated electric utility (Florida Power &amp; Light - constructive regulatory ROE &amp; population inflow) with NextEra Energy Resources (#1 global wind &amp; solar developer); 4-for-1 stock split in Oct 2020.</t>
        </is>
      </c>
      <c r="M10" s="14" t="inlineStr">
        <is>
          <t>Satisfies University Endowment ESG decarbonization mandates while delivering utility-like low market beta (0.47) and strong 2015-2022 growth (18.31%/yr CAGR), though vulnerable to rapid rate hikes (as seen in 2022-2023).</t>
        </is>
      </c>
      <c r="N10" s="15" t="n">
        <v>0.1831083305224277</v>
      </c>
      <c r="O10" s="16" t="n">
        <v>0.1883569262487628</v>
      </c>
      <c r="P10" s="17" t="n">
        <v>0.9482317065904721</v>
      </c>
      <c r="Q10" s="16" t="n">
        <v>-0.2350754764773438</v>
      </c>
      <c r="R10" s="18">
        <f>HYPERLINK("https://www.digrin.com/stocks/detail/NEE/price", "Verified Price &amp; 10-K/Prospectus (NEE)")</f>
        <v/>
      </c>
    </row>
    <row r="11" ht="54" customHeight="1">
      <c r="A11" s="12" t="n">
        <v>9</v>
      </c>
      <c r="B11" s="10" t="inlineStr">
        <is>
          <t>USMV</t>
        </is>
      </c>
      <c r="C11" s="13" t="inlineStr">
        <is>
          <t>iShares MSCI USA Min Vol Factor ETF</t>
        </is>
      </c>
      <c r="D11" s="12" t="inlineStr">
        <is>
          <t>ETF</t>
        </is>
      </c>
      <c r="E11" s="14" t="inlineStr">
        <is>
          <t>US Equity - Low Volatility Factor</t>
        </is>
      </c>
      <c r="F11" s="12" t="inlineStr">
        <is>
          <t>Cboe BZX</t>
        </is>
      </c>
      <c r="G11" s="12" t="inlineStr">
        <is>
          <t>2011</t>
        </is>
      </c>
      <c r="H11" s="12" t="inlineStr">
        <is>
          <t>Original (Core 2 ETF)</t>
        </is>
      </c>
      <c r="I11" s="12" t="inlineStr">
        <is>
          <t>Y (96/96 + 36 OOS)</t>
        </is>
      </c>
      <c r="J11" s="13" t="inlineStr">
        <is>
          <t>Tier 2: Defensive Low-Volatility Factor Sleeve</t>
        </is>
      </c>
      <c r="K11" s="14" t="inlineStr">
        <is>
          <t>TCO: Expense Ratio 0.15%, Tracking Difference -0.13%/yr, Tracking Error 0.08%; AUM $27.4B (12/2022); Bid-Ask Spread 0.02% ($420M/day ADV + &gt;$18B implied liquidity); Top-10 weight only 15.8% (HHI 92, low concentration); Turnover 21%/yr.</t>
        </is>
      </c>
      <c r="L11" s="14" t="inlineStr">
        <is>
          <t>Tracks MSCI USA Minimum Volatility Index using Barra covariance optimization with sector caps (+/-5% vs parent index) and semi-annual rebalancing (May/Nov); Full Physical Replication (170 holdings); BlackRock institutional stewardship.</t>
        </is>
      </c>
      <c r="M11" s="14" t="inlineStr">
        <is>
          <t>Directly engineered to defend the Board's 15% drawdown review trigger: achieves the lowest annualized volatility (12.84%) and highest Sharpe Ratio (0.71) between the original 2 ETFs with Market Beta 0.74.</t>
        </is>
      </c>
      <c r="N11" s="15" t="n">
        <v>0.09547005529260821</v>
      </c>
      <c r="O11" s="16" t="n">
        <v>0.1284065624059179</v>
      </c>
      <c r="P11" s="17" t="n">
        <v>0.7107438147241757</v>
      </c>
      <c r="Q11" s="16" t="n">
        <v>-0.1905592425133249</v>
      </c>
      <c r="R11" s="18">
        <f>HYPERLINK("https://totalrealreturns.com/n/USMV", "Verified Price &amp; 10-K/Prospectus (USMV)")</f>
        <v/>
      </c>
    </row>
    <row r="12" ht="54" customHeight="1">
      <c r="A12" s="12" t="n">
        <v>10</v>
      </c>
      <c r="B12" s="10" t="inlineStr">
        <is>
          <t>VTI</t>
        </is>
      </c>
      <c r="C12" s="13" t="inlineStr">
        <is>
          <t>Vanguard Total Stock Market ETF</t>
        </is>
      </c>
      <c r="D12" s="12" t="inlineStr">
        <is>
          <t>ETF</t>
        </is>
      </c>
      <c r="E12" s="14" t="inlineStr">
        <is>
          <t>Broad US Market (Total Cap)</t>
        </is>
      </c>
      <c r="F12" s="12" t="inlineStr">
        <is>
          <t>NYSE Arca</t>
        </is>
      </c>
      <c r="G12" s="12" t="inlineStr">
        <is>
          <t>2001</t>
        </is>
      </c>
      <c r="H12" s="12" t="inlineStr">
        <is>
          <t>Original (Core 2 ETF)</t>
        </is>
      </c>
      <c r="I12" s="12" t="inlineStr">
        <is>
          <t>Y (96/96 + 36 OOS)</t>
        </is>
      </c>
      <c r="J12" s="13" t="inlineStr">
        <is>
          <t>Tier 1: Liquid Core Beta &amp; Policy Benchmark</t>
        </is>
      </c>
      <c r="K12" s="14" t="inlineStr">
        <is>
          <t>TCO: Expense Ratio 0.03%, Tracking Difference -0.01%/yr (offset by Vanguard securities lending revenue returned 100% to fund), Tracking Error 0.03%; AUM $262B ETF / $1.2T fund (12/2022); Bid-Ask Spread 0.01%; Top-10 weight 22.8%; Turnover 3%/yr.</t>
        </is>
      </c>
      <c r="L12" s="14" t="inlineStr">
        <is>
          <t>Tracks CRSP US Total Market Index (~3,950 stocks across Mega, Large, Mid, Small, Micro-cap) via Full Physical Replication (99%+) + sampling for micro-caps; Vanguard's unique patent structure eliminates capital gains distributions.</t>
        </is>
      </c>
      <c r="M12" s="14" t="inlineStr">
        <is>
          <t>Serves as the Investable Policy Benchmark (FF3 R² = 99.82%, Beta = 0.99, Alpha = -0.20%/yr p=0.43) and primary T+1 liquidity reservoir for annual Endowment spending withdrawals and tactical rebalancing.</t>
        </is>
      </c>
      <c r="N12" s="15" t="n">
        <v>0.0959381126785126</v>
      </c>
      <c r="O12" s="16" t="n">
        <v>0.1630921637898694</v>
      </c>
      <c r="P12" s="17" t="n">
        <v>0.5931598543854076</v>
      </c>
      <c r="Q12" s="16" t="n">
        <v>-0.2481914279873279</v>
      </c>
      <c r="R12" s="18">
        <f>HYPERLINK("https://www.digrin.com/stocks/detail/VTI/price", "Verified Price &amp; 10-K/Prospectus (VTI)")</f>
        <v/>
      </c>
    </row>
    <row r="13" ht="54" customHeight="1">
      <c r="A13" s="19" t="n">
        <v>11</v>
      </c>
      <c r="B13" s="4" t="inlineStr">
        <is>
          <t>VTV</t>
        </is>
      </c>
      <c r="C13" s="11" t="inlineStr">
        <is>
          <t>Vanguard Value ETF</t>
        </is>
      </c>
      <c r="D13" s="19" t="inlineStr">
        <is>
          <t>ETF</t>
        </is>
      </c>
      <c r="E13" s="5" t="inlineStr">
        <is>
          <t>US Equity - Large Cap Value</t>
        </is>
      </c>
      <c r="F13" s="19" t="inlineStr">
        <is>
          <t>NYSE Arca</t>
        </is>
      </c>
      <c r="G13" s="19" t="inlineStr">
        <is>
          <t>2004</t>
        </is>
      </c>
      <c r="H13" s="19" t="inlineStr">
        <is>
          <t>New ETF (+1)</t>
        </is>
      </c>
      <c r="I13" s="19" t="inlineStr">
        <is>
          <t>Y (96/96 + 36 OOS)</t>
        </is>
      </c>
      <c r="J13" s="11" t="inlineStr">
        <is>
          <t>Tier 2/3: Value &amp; Duration-Defense Factor Sleeve</t>
        </is>
      </c>
      <c r="K13" s="5" t="inlineStr">
        <is>
          <t>TCO: Expense Ratio 0.04%, Tracking Difference -0.02%/yr, Tracking Error 0.04%; AUM $99.8B (12/2022); Bid-Ask Spread 0.01%; Top-10 weight 21.4% (BRK.B, UNH, JNJ, XOM, JPM); Turnover 8%/yr; HML Beta +0.33 (p&lt;0.001).</t>
        </is>
      </c>
      <c r="L13" s="5" t="inlineStr">
        <is>
          <t>Tracks CRSP US Large Cap Value Index (multi-factor value composite: B/P, Forward E/P, Historic E/P, D/P, S/P) with CRSP packeting/migration rules that cut rebalancing market-impact costs in half; Full Physical Replication (~340 holdings).</t>
        </is>
      </c>
      <c r="M13" s="5" t="inlineStr">
        <is>
          <t>Counterbalances Growth/Tech duration risk: in 2022 when VTI fell -19.5% and QQQ fell -32.6%, VTV lost only -2.1%, protecting Endowment sequence-of-returns risk during inflationary rate-hike regimes.</t>
        </is>
      </c>
      <c r="N13" s="20" t="n">
        <v>0.09358115627332309</v>
      </c>
      <c r="O13" s="21" t="n">
        <v>0.1547886383243219</v>
      </c>
      <c r="P13" s="22" t="n">
        <v>0.6024027326410313</v>
      </c>
      <c r="Q13" s="21" t="n">
        <v>-0.2502205233754778</v>
      </c>
      <c r="R13" s="23">
        <f>HYPERLINK("https://www.digrin.com/stocks/detail/VTV/price", "Verified Price &amp; 10-K/Prospectus (VTV)")</f>
        <v/>
      </c>
    </row>
    <row r="14" ht="54" customHeight="1">
      <c r="A14" s="24" t="n">
        <v>12</v>
      </c>
      <c r="B14" s="7" t="inlineStr">
        <is>
          <t>SCHD</t>
        </is>
      </c>
      <c r="C14" s="9" t="inlineStr">
        <is>
          <t>Schwab U.S. Dividend Equity ETF</t>
        </is>
      </c>
      <c r="D14" s="24" t="inlineStr">
        <is>
          <t>ETF</t>
        </is>
      </c>
      <c r="E14" s="8" t="inlineStr">
        <is>
          <t>US Equity - Quality Dividend Growth</t>
        </is>
      </c>
      <c r="F14" s="24" t="inlineStr">
        <is>
          <t>NYSE Arca</t>
        </is>
      </c>
      <c r="G14" s="24" t="inlineStr">
        <is>
          <t>2011</t>
        </is>
      </c>
      <c r="H14" s="24" t="inlineStr">
        <is>
          <t>New ETF (+2)</t>
        </is>
      </c>
      <c r="I14" s="24" t="inlineStr">
        <is>
          <t>Y (96/96 + 36 OOS)</t>
        </is>
      </c>
      <c r="J14" s="9" t="inlineStr">
        <is>
          <t>Tier 2: Quality Cash-Flow &amp; Spending-Rule Yield Sleeve</t>
        </is>
      </c>
      <c r="K14" s="8" t="inlineStr">
        <is>
          <t>TCO: Expense Ratio 0.06%, Tracking Difference -0.05%/yr; AUM $43.5B (12/2022); Bid-Ask Spread 0.01%; Dividend Yield ~3.4% (2022); Top-10 weight 40.8% (4% single-stock cap, 25% sector cap); Turnover 28%/yr; Sharpe Ratio 0.75 (highest of all 8 ETFs!).</t>
        </is>
      </c>
      <c r="L14" s="8" t="inlineStr">
        <is>
          <t>Tracks Dow Jones U.S. Dividend 100 Index: requires 10+ consecutive years of dividends, then ranks by 4 fundamental quality pillars (Cash Flow-to-Total Debt, ROE, Dividend Yield, 5-Yr Dividend Growth), excluding REITs; Annual March reconstitution.</t>
        </is>
      </c>
      <c r="M14" s="8" t="inlineStr">
        <is>
          <t>Directly bridges the Endowment's 4.5%-5.0% annual spending rule by generating ~3.4% organic cash dividend yield backed by high-ROIC, low-debt balance sheets (2015-2022 CAGR 11.78%/yr, MDD -21.50%, Downside Beta 0.84).</t>
        </is>
      </c>
      <c r="N14" s="25" t="n">
        <v>0.1177705005396976</v>
      </c>
      <c r="O14" s="26" t="n">
        <v>0.1537534169156254</v>
      </c>
      <c r="P14" s="27" t="n">
        <v>0.748103682389578</v>
      </c>
      <c r="Q14" s="26" t="n">
        <v>-0.2149901380670611</v>
      </c>
      <c r="R14" s="28">
        <f>HYPERLINK("https://www.digrin.com/stocks/detail/SCHD/price", "Verified Price &amp; 10-K/Prospectus (SCHD)")</f>
        <v/>
      </c>
    </row>
    <row r="15" ht="54" customHeight="1">
      <c r="A15" s="19" t="n">
        <v>13</v>
      </c>
      <c r="B15" s="4" t="inlineStr">
        <is>
          <t>RSP</t>
        </is>
      </c>
      <c r="C15" s="11" t="inlineStr">
        <is>
          <t>Invesco S&amp;P 500 Equal Weight ETF</t>
        </is>
      </c>
      <c r="D15" s="19" t="inlineStr">
        <is>
          <t>ETF</t>
        </is>
      </c>
      <c r="E15" s="5" t="inlineStr">
        <is>
          <t>US Equity - Equal-Weight De-Concentration</t>
        </is>
      </c>
      <c r="F15" s="19" t="inlineStr">
        <is>
          <t>NYSE Arca</t>
        </is>
      </c>
      <c r="G15" s="19" t="inlineStr">
        <is>
          <t>2003</t>
        </is>
      </c>
      <c r="H15" s="19" t="inlineStr">
        <is>
          <t>New ETF (+3)</t>
        </is>
      </c>
      <c r="I15" s="19" t="inlineStr">
        <is>
          <t>Y (96/96 + 36 OOS)</t>
        </is>
      </c>
      <c r="J15" s="11" t="inlineStr">
        <is>
          <t>Tier 1/3: Anti-Concentration &amp; Mid-Cap Rebalancing Sleeve</t>
        </is>
      </c>
      <c r="K15" s="5" t="inlineStr">
        <is>
          <t>TCO: Expense Ratio 0.20%, Tracking Difference -0.22%/yr; AUM $32.8B (12/2022); Bid-Ask Spread 0.01%; Top-10 weight only 2.4% (0.20% per stock, HHI = 20 vs ~145 for cap-weighted S&amp;P 500); Turnover 24%/yr; SMB +0.16, HML +0.23.</t>
        </is>
      </c>
      <c r="L15" s="5" t="inlineStr">
        <is>
          <t>Tracks S&amp;P 500 Equal Weight Index: assigns 0.20% weight to each S&amp;P 500 constituent and rebalances quarterly (Mar/Jun/Sep/Dec), mechanically trimming overvalued mega-cap winners and buying undervalued laggards ('contrarian rebalancing premium').</t>
        </is>
      </c>
      <c r="M15" s="5" t="inlineStr">
        <is>
          <t>Eliminates the Institutional Crowding &amp; Mega-Cap Concentration Risk embedded in VTI/SPY/QQQ (where Top-10 stocks exceed 25%-50% of NAV), providing broad participation across all 11 GICS sectors.</t>
        </is>
      </c>
      <c r="N15" s="20" t="n">
        <v>0.09199019845368062</v>
      </c>
      <c r="O15" s="21" t="n">
        <v>0.1719333221855955</v>
      </c>
      <c r="P15" s="22" t="n">
        <v>0.5503804228941234</v>
      </c>
      <c r="Q15" s="21" t="n">
        <v>-0.2667569397427219</v>
      </c>
      <c r="R15" s="23">
        <f>HYPERLINK("https://www.digrin.com/stocks/detail/RSP/price", "Verified Price &amp; 10-K/Prospectus (RSP)")</f>
        <v/>
      </c>
    </row>
    <row r="16" ht="54" customHeight="1">
      <c r="A16" s="24" t="n">
        <v>14</v>
      </c>
      <c r="B16" s="7" t="inlineStr">
        <is>
          <t>QQQ</t>
        </is>
      </c>
      <c r="C16" s="9" t="inlineStr">
        <is>
          <t>Invesco QQQ Trust</t>
        </is>
      </c>
      <c r="D16" s="24" t="inlineStr">
        <is>
          <t>ETF</t>
        </is>
      </c>
      <c r="E16" s="8" t="inlineStr">
        <is>
          <t>US Equity - Secular Innovation &amp; Tech Growth</t>
        </is>
      </c>
      <c r="F16" s="24" t="inlineStr">
        <is>
          <t>NASDAQ</t>
        </is>
      </c>
      <c r="G16" s="24" t="inlineStr">
        <is>
          <t>1999</t>
        </is>
      </c>
      <c r="H16" s="24" t="inlineStr">
        <is>
          <t>New ETF (+4)</t>
        </is>
      </c>
      <c r="I16" s="24" t="inlineStr">
        <is>
          <t>Y (96/96 + 36 OOS)</t>
        </is>
      </c>
      <c r="J16" s="9" t="inlineStr">
        <is>
          <t>Tier 3: High-Conviction Secular Growth &amp; Innovation Sleeve</t>
        </is>
      </c>
      <c r="K16" s="8" t="inlineStr">
        <is>
          <t>TCO: Expense Ratio 0.20%, Tracking Difference -0.19%/yr; AUM $148.5B (12/2022); #2 most liquid ETF globally ($12B+/day ADV, 0.01% spread); Top-10 weight 51.2% (AAPL, MSFT, AMZN, NVDA, GOOGL); FF3 R² = 93.71%, HML Beta -0.37.</t>
        </is>
      </c>
      <c r="L16" s="8" t="inlineStr">
        <is>
          <t>Tracks Nasdaq-100 Index (100 largest non-financial companies on Nasdaq); Unit Investment Trust (UIT) structure with Full Physical Replication; captures secular R&amp;D compounders in Cloud, AI, Semiconductors, and Biotech.</t>
        </is>
      </c>
      <c r="M16" s="8" t="inlineStr">
        <is>
          <t>Delivers powerful long-term capital appreciation (13.49%/yr in 2015-2022; +32.92%/yr in 2023-2025) to beat HEPI inflation, while our FF3 test proves its alpha (+2.22%/yr, p=0.21) is pure Growth factor exposure requiring strict weight caps (&lt;10-15%) to respect the 15% MDD limit.</t>
        </is>
      </c>
      <c r="N16" s="25" t="n">
        <v>0.1348600390616463</v>
      </c>
      <c r="O16" s="26" t="n">
        <v>0.1908237932581453</v>
      </c>
      <c r="P16" s="27" t="n">
        <v>0.7165174763130603</v>
      </c>
      <c r="Q16" s="26" t="n">
        <v>-0.3257805398976472</v>
      </c>
      <c r="R16" s="28">
        <f>HYPERLINK("https://www.digrin.com/stocks/detail/QQQ/price", "Verified Price &amp; 10-K/Prospectus (QQQ)")</f>
        <v/>
      </c>
    </row>
    <row r="17" ht="54" customHeight="1">
      <c r="A17" s="19" t="n">
        <v>15</v>
      </c>
      <c r="B17" s="4" t="inlineStr">
        <is>
          <t>VUG</t>
        </is>
      </c>
      <c r="C17" s="11" t="inlineStr">
        <is>
          <t>Vanguard Growth ETF</t>
        </is>
      </c>
      <c r="D17" s="19" t="inlineStr">
        <is>
          <t>ETF</t>
        </is>
      </c>
      <c r="E17" s="5" t="inlineStr">
        <is>
          <t>US Equity - Low-Cost Large Cap Growth</t>
        </is>
      </c>
      <c r="F17" s="19" t="inlineStr">
        <is>
          <t>NYSE Arca</t>
        </is>
      </c>
      <c r="G17" s="19" t="inlineStr">
        <is>
          <t>2004</t>
        </is>
      </c>
      <c r="H17" s="19" t="inlineStr">
        <is>
          <t>New ETF (+5)</t>
        </is>
      </c>
      <c r="I17" s="19" t="inlineStr">
        <is>
          <t>Y (96/96 + 36 OOS)</t>
        </is>
      </c>
      <c r="J17" s="11" t="inlineStr">
        <is>
          <t>Tier 3: Low-Cost Large-Cap Growth Factor Sleeve</t>
        </is>
      </c>
      <c r="K17" s="5" t="inlineStr">
        <is>
          <t>TCO: Expense Ratio 0.04% (5x cheaper than QQQ's 0.20%), Tracking Difference -0.03%/yr; AUM $70.6B (12/2022); Bid-Ask Spread 0.01%; Top-10 weight 46.5%; Turnover 8%/yr; FF3 R² = 97.23%, Beta_Mkt 1.08, Beta_HML -0.31.</t>
        </is>
      </c>
      <c r="L17" s="5" t="inlineStr">
        <is>
          <t>Tracks CRSP US Large Cap Growth Index (6-factor growth composite: 3-yr historic EPS/Sales growth, I/B/E/S forward EPS growth, Investment-to-Assets, ROA) across ~250 NYSE + Nasdaq stocks with CRSP migration bands.</t>
        </is>
      </c>
      <c r="M17" s="5" t="inlineStr">
        <is>
          <t>Institutional low-cost alternative to QQQ (4 bps vs 20 bps) that includes NYSE growth leaders (e.g., V, MA, LLY, HD) omitted by Nasdaq-only QQQ.</t>
        </is>
      </c>
      <c r="N17" s="20" t="n">
        <v>0.1045953243904807</v>
      </c>
      <c r="O17" s="21" t="n">
        <v>0.181803984214443</v>
      </c>
      <c r="P17" s="22" t="n">
        <v>0.5930094319403184</v>
      </c>
      <c r="Q17" s="21" t="n">
        <v>-0.331542594013814</v>
      </c>
      <c r="R17" s="23">
        <f>HYPERLINK("https://www.digrin.com/stocks/detail/VUG/price", "Verified Price &amp; 10-K/Prospectus (VUG)")</f>
        <v/>
      </c>
    </row>
    <row r="18" ht="54" customHeight="1">
      <c r="A18" s="24" t="n">
        <v>16</v>
      </c>
      <c r="B18" s="7" t="inlineStr">
        <is>
          <t>SPY</t>
        </is>
      </c>
      <c r="C18" s="9" t="inlineStr">
        <is>
          <t>SPDR S&amp;P 500 ETF Trust</t>
        </is>
      </c>
      <c r="D18" s="24" t="inlineStr">
        <is>
          <t>ETF</t>
        </is>
      </c>
      <c r="E18" s="8" t="inlineStr">
        <is>
          <t>Broad US Large-Cap Benchmark</t>
        </is>
      </c>
      <c r="F18" s="24" t="inlineStr">
        <is>
          <t>NYSE Arca</t>
        </is>
      </c>
      <c r="G18" s="24" t="inlineStr">
        <is>
          <t>1993</t>
        </is>
      </c>
      <c r="H18" s="24" t="inlineStr">
        <is>
          <t>New ETF (+6)</t>
        </is>
      </c>
      <c r="I18" s="24" t="inlineStr">
        <is>
          <t>Y (96/96 + 36 OOS)</t>
        </is>
      </c>
      <c r="J18" s="9" t="inlineStr">
        <is>
          <t>Tier 1: Institutional Liquidity &amp; Derivatives Benchmark</t>
        </is>
      </c>
      <c r="K18" s="8" t="inlineStr">
        <is>
          <t>TCO: Expense Ratio 0.0945%, Tracking Difference -0.09%/yr; AUM $358B (12/2022); #1 most liquid security in the world ($35B+/day ADV, sub-penny spread); Top-10 weight 25.4%; Turnover 2%/yr; FF3 R² = 99.59%, Alpha +0.15%/yr (p=0.68).</t>
        </is>
      </c>
      <c r="L18" s="8" t="inlineStr">
        <is>
          <t>Tracks S&amp;P 500 Index (500 leading US large-caps with positive GAAP earnings filter); Unit Investment Trust (UIT) structure; deepest options/futures ecosystem globally for institutional tail-risk hedging.</t>
        </is>
      </c>
      <c r="M18" s="8" t="inlineStr">
        <is>
          <t>Included to reconcile the original workbook's split-brain tabs ('Stock Returns' used SPY while 'Returns_data' used VTI) and to provide large-cap S&amp;P 500 benchmarking with GAAP profitability screening.</t>
        </is>
      </c>
      <c r="N18" s="25" t="n">
        <v>0.1006528554528614</v>
      </c>
      <c r="O18" s="26" t="n">
        <v>0.1591267388998156</v>
      </c>
      <c r="P18" s="27" t="n">
        <v>0.6309632530462099</v>
      </c>
      <c r="Q18" s="26" t="n">
        <v>-0.2392755284225088</v>
      </c>
      <c r="R18" s="28">
        <f>HYPERLINK("https://www.digrin.com/stocks/detail/SPY/price", "Verified Price &amp; 10-K/Prospectus (SPY)")</f>
        <v/>
      </c>
    </row>
    <row r="19" ht="54" customHeight="1">
      <c r="A19" s="19" t="n">
        <v>17</v>
      </c>
      <c r="B19" s="4" t="inlineStr">
        <is>
          <t>AAPL</t>
        </is>
      </c>
      <c r="C19" s="11" t="inlineStr">
        <is>
          <t>Apple Inc.</t>
        </is>
      </c>
      <c r="D19" s="19" t="inlineStr">
        <is>
          <t>Stock</t>
        </is>
      </c>
      <c r="E19" s="5" t="inlineStr">
        <is>
          <t>Information Technology</t>
        </is>
      </c>
      <c r="F19" s="19" t="inlineStr">
        <is>
          <t>NASDAQ</t>
        </is>
      </c>
      <c r="G19" s="19" t="inlineStr">
        <is>
          <t>1980</t>
        </is>
      </c>
      <c r="H19" s="19" t="inlineStr">
        <is>
          <t>New Stock (IT +1)</t>
        </is>
      </c>
      <c r="I19" s="19" t="inlineStr">
        <is>
          <t>Y (96/96 + 36 OOS)</t>
        </is>
      </c>
      <c r="J19" s="11" t="inlineStr">
        <is>
          <t>Tier 3: Ecosystem Compounder &amp; Cash-Return Titan</t>
        </is>
      </c>
      <c r="K19" s="5" t="inlineStr">
        <is>
          <t>ROIC &gt;45.0% vs WACC 8.2% (Spread +36.8%, negative cash conversion cycle); OCF/NI 1.19x ($122B OCF in FY2022); ADV &gt;$11B/day; AA+ credit rating with $169B cash/marketable securities.</t>
        </is>
      </c>
      <c r="L19" s="5" t="inlineStr">
        <is>
          <t>Transition from hardware cycles to high-margin Services ecosystem (&gt;78% gross margin on App Store, iCloud, Apple Pay; 900M+ paid subscriptions by 2022); history's largest share repurchase program ($550B+ bought back 2015-2022); 4-for-1 split Aug 2020.</t>
        </is>
      </c>
      <c r="M19" s="5" t="inlineStr">
        <is>
          <t>Provides 22.98%/yr CAGR and 0.83 Sharpe (2015-2022) with massive FCF yield, though high weight in VTI/QQQ/SPY requires look-through capping to avoid single-issuer concentration.</t>
        </is>
      </c>
      <c r="N19" s="20" t="n">
        <v>0.229765844103091</v>
      </c>
      <c r="O19" s="21" t="n">
        <v>0.2912963320701282</v>
      </c>
      <c r="P19" s="22" t="n">
        <v>0.8295125946568249</v>
      </c>
      <c r="Q19" s="21" t="n">
        <v>-0.3046184717550167</v>
      </c>
      <c r="R19" s="23">
        <f>HYPERLINK("https://www.digrin.com/stocks/detail/AAPL/price", "Verified Price &amp; 10-K/Prospectus (AAPL)")</f>
        <v/>
      </c>
    </row>
    <row r="20" ht="54" customHeight="1">
      <c r="A20" s="24" t="n">
        <v>18</v>
      </c>
      <c r="B20" s="7" t="inlineStr">
        <is>
          <t>CSCO</t>
        </is>
      </c>
      <c r="C20" s="9" t="inlineStr">
        <is>
          <t>Cisco Systems, Inc.</t>
        </is>
      </c>
      <c r="D20" s="24" t="inlineStr">
        <is>
          <t>Stock</t>
        </is>
      </c>
      <c r="E20" s="8" t="inlineStr">
        <is>
          <t>Information Technology</t>
        </is>
      </c>
      <c r="F20" s="24" t="inlineStr">
        <is>
          <t>NASDAQ</t>
        </is>
      </c>
      <c r="G20" s="24" t="inlineStr">
        <is>
          <t>1990</t>
        </is>
      </c>
      <c r="H20" s="24" t="inlineStr">
        <is>
          <t>New Stock (IT +2)</t>
        </is>
      </c>
      <c r="I20" s="24" t="inlineStr">
        <is>
          <t>Y (96/96 + 36 OOS)</t>
        </is>
      </c>
      <c r="J20" s="9" t="inlineStr">
        <is>
          <t>Tier 2: High-Yield Legacy Tech &amp; Enterprise Infrastructure</t>
        </is>
      </c>
      <c r="K20" s="8" t="inlineStr">
        <is>
          <t>ROIC 19.4% vs WACC 7.5% (Spread +11.9%); OCF/NI 1.28x (deferred revenue from software/security subscriptions); AA- balance sheet with net cash position through most of 2015-2022; ~3.1% dividend yield.</t>
        </is>
      </c>
      <c r="L20" s="8" t="inlineStr">
        <is>
          <t>Chuck Robbins' pivot from cyclical hardware switching/routing toward recurring software &amp; cybersecurity (Duo Security 2018, ThousandEyes 2020, Splunk strategy); conservative capital return (&gt;50% FCF to dividends + buybacks).</t>
        </is>
      </c>
      <c r="M20" s="8" t="inlineStr">
        <is>
          <t>Lowers overall IT sector valuation &amp; duration risk (Downside Beta 0.60 vs NVDA's 1.78), providing steady dividend income within the Technology sleeve.</t>
        </is>
      </c>
      <c r="N20" s="25" t="n">
        <v>0.1035774941665433</v>
      </c>
      <c r="O20" s="26" t="n">
        <v>0.2477334216220305</v>
      </c>
      <c r="P20" s="27" t="n">
        <v>0.4868013023727853</v>
      </c>
      <c r="Q20" s="26" t="n">
        <v>-0.3549666486389037</v>
      </c>
      <c r="R20" s="28">
        <f>HYPERLINK("https://www.digrin.com/stocks/detail/CSCO/price", "Verified Price &amp; 10-K/Prospectus (CSCO)")</f>
        <v/>
      </c>
    </row>
    <row r="21" ht="54" customHeight="1">
      <c r="A21" s="19" t="n">
        <v>19</v>
      </c>
      <c r="B21" s="4" t="inlineStr">
        <is>
          <t>TXN</t>
        </is>
      </c>
      <c r="C21" s="11" t="inlineStr">
        <is>
          <t>Texas Instruments Inc.</t>
        </is>
      </c>
      <c r="D21" s="19" t="inlineStr">
        <is>
          <t>Stock</t>
        </is>
      </c>
      <c r="E21" s="5" t="inlineStr">
        <is>
          <t>Information Technology</t>
        </is>
      </c>
      <c r="F21" s="19" t="inlineStr">
        <is>
          <t>NASDAQ</t>
        </is>
      </c>
      <c r="G21" s="19" t="inlineStr">
        <is>
          <t>1953</t>
        </is>
      </c>
      <c r="H21" s="19" t="inlineStr">
        <is>
          <t>New Stock (IT +3)</t>
        </is>
      </c>
      <c r="I21" s="19" t="inlineStr">
        <is>
          <t>Y (96/96 + 36 OOS)</t>
        </is>
      </c>
      <c r="J21" s="11" t="inlineStr">
        <is>
          <t>Tier 2/3: Analog Semiconductor FCF-per-Share Compounder</t>
        </is>
      </c>
      <c r="K21" s="5" t="inlineStr">
        <is>
          <t>ROIC 34.6% vs WACC 8.1% (Spread +26.5%); FCF Margin 32%-36% of revenue; OCF/NI 1.15x; A+ credit rating; 19 consecutive years of dividend increases (24% CAGR 2004-2022) and -47% share count reduction.</t>
        </is>
      </c>
      <c r="L21" s="5" t="inlineStr">
        <is>
          <t>Gold-standard institutional capital allocation memo: CEO Rich Templeton explicitly manages TXN to maximize long-term FCF/share via 300mm wafer fab cost advantage (40% lower chip cost) and long-lifecycle industrial/automotive analog catalog.</t>
        </is>
      </c>
      <c r="M21" s="5" t="inlineStr">
        <is>
          <t>Delivers 18.21%/yr CAGR with a remarkably low Max Drawdown (-21.55% in 2015-2022, lowest among all IT stocks!) and positive HML value tilt (+0.14), acting as a quality industrial-tech bridge.</t>
        </is>
      </c>
      <c r="N21" s="20" t="n">
        <v>0.1821454171254122</v>
      </c>
      <c r="O21" s="21" t="n">
        <v>0.224005129606846</v>
      </c>
      <c r="P21" s="22" t="n">
        <v>0.8238674529067666</v>
      </c>
      <c r="Q21" s="21" t="n">
        <v>-0.2154612997272641</v>
      </c>
      <c r="R21" s="23">
        <f>HYPERLINK("https://www.digrin.com/stocks/detail/TXN/price", "Verified Price &amp; 10-K/Prospectus (TXN)")</f>
        <v/>
      </c>
    </row>
    <row r="22" ht="54" customHeight="1">
      <c r="A22" s="24" t="n">
        <v>20</v>
      </c>
      <c r="B22" s="7" t="inlineStr">
        <is>
          <t>NVDA</t>
        </is>
      </c>
      <c r="C22" s="9" t="inlineStr">
        <is>
          <t>NVIDIA Corp.</t>
        </is>
      </c>
      <c r="D22" s="24" t="inlineStr">
        <is>
          <t>Stock</t>
        </is>
      </c>
      <c r="E22" s="8" t="inlineStr">
        <is>
          <t>Information Technology</t>
        </is>
      </c>
      <c r="F22" s="24" t="inlineStr">
        <is>
          <t>NASDAQ</t>
        </is>
      </c>
      <c r="G22" s="24" t="inlineStr">
        <is>
          <t>1999</t>
        </is>
      </c>
      <c r="H22" s="24" t="inlineStr">
        <is>
          <t>New Stock (IT +4)</t>
        </is>
      </c>
      <c r="I22" s="24" t="inlineStr">
        <is>
          <t>Y (96/96 + 36 OOS)</t>
        </is>
      </c>
      <c r="J22" s="9" t="inlineStr">
        <is>
          <t>Tier 3: High-Beta AI/GPU Secular Alpha Satellite</t>
        </is>
      </c>
      <c r="K22" s="8" t="inlineStr">
        <is>
          <t>ROIC averaged 29.8% (2015-2022); 2015-2022 CAGR 53.22%/yr, FF3 Alpha +35.52%/yr (p=0.0085); Caveat: Annualized Volatility 46.26%, Market Beta 1.71, Downside Beta 1.78, and Max Drawdown -62.82% (2021-2022 crypto/gaming inventory reset).</t>
        </is>
      </c>
      <c r="L22" s="8" t="inlineStr">
        <is>
          <t>Jensen Huang's 15-year CUDA software moat &amp; Data Center architecture pivot (Pascal 2016, Volta 2017, Ampere 2020, Mellanox acquisition 2020) transformed GPUs into the monopoly compute engine for AI and HPC.</t>
        </is>
      </c>
      <c r="M22" s="8" t="inlineStr">
        <is>
          <t>Highest alpha generator in the entire 39-asset universe (+35.5%/yr FF3 Alpha in 2015-2022; +133.8%/yr OOS in 2023-2025), but its -62.8% drawdown and 1.78 Downside Beta mandate a strict &lt;2%-3% satellite weight cap for an Endowment.</t>
        </is>
      </c>
      <c r="N22" s="25" t="n">
        <v>0.532196746540708</v>
      </c>
      <c r="O22" s="26" t="n">
        <v>0.462634168463929</v>
      </c>
      <c r="P22" s="27" t="n">
        <v>1.148180616280638</v>
      </c>
      <c r="Q22" s="26" t="n">
        <v>-0.6281854467301198</v>
      </c>
      <c r="R22" s="28">
        <f>HYPERLINK("https://www.digrin.com/stocks/detail/NVDA/price", "Verified Price &amp; 10-K/Prospectus (NVDA)")</f>
        <v/>
      </c>
    </row>
    <row r="23" ht="54" customHeight="1">
      <c r="A23" s="19" t="n">
        <v>21</v>
      </c>
      <c r="B23" s="4" t="inlineStr">
        <is>
          <t>PFE</t>
        </is>
      </c>
      <c r="C23" s="11" t="inlineStr">
        <is>
          <t>Pfizer Inc.</t>
        </is>
      </c>
      <c r="D23" s="19" t="inlineStr">
        <is>
          <t>Stock</t>
        </is>
      </c>
      <c r="E23" s="5" t="inlineStr">
        <is>
          <t>Health Care</t>
        </is>
      </c>
      <c r="F23" s="19" t="inlineStr">
        <is>
          <t>NYSE</t>
        </is>
      </c>
      <c r="G23" s="19" t="inlineStr">
        <is>
          <t>1942</t>
        </is>
      </c>
      <c r="H23" s="19" t="inlineStr">
        <is>
          <t>New Stock (HC +1)</t>
        </is>
      </c>
      <c r="I23" s="19" t="inlineStr">
        <is>
          <t>Y (96/96 + 36 OOS)</t>
        </is>
      </c>
      <c r="J23" s="11" t="inlineStr">
        <is>
          <t>Tier 2: High-Yield Biopharma &amp; Pandemic Counter-Cyclical</t>
        </is>
      </c>
      <c r="K23" s="5" t="inlineStr">
        <is>
          <t>ROIC jumped from 11.2% (2015-2019) to &gt;26% (2021-2022 on Comirnaty/Paxlovid windfall, $100B FY2022 revenue); Market Beta 0.75, Downside Beta 0.48; ~3.8% dividend yield; Low R² (26.5%) offers strong idiosyncratic diversification.</t>
        </is>
      </c>
      <c r="L23" s="5" t="inlineStr">
        <is>
          <t>2019-2020 strategic restructuring (spun off Upjohn generics into Viatris to become a pure-play biopharma); historic BioNTech mRNA partnership (2020-2022); Caveat: 2023-2025 post-COVID revenue cliff (-16.7%/yr OOS) highlights patent/product cycle risk.</t>
        </is>
      </c>
      <c r="M23" s="5" t="inlineStr">
        <is>
          <t>Reconciles the original workbook's 'Stock Returns' tab while illustrating why Endowment biopharma holdings must be diversified across therapeutic pipelines rather than reliant on single-product windfalls.</t>
        </is>
      </c>
      <c r="N23" s="20" t="n">
        <v>0.1108503940028409</v>
      </c>
      <c r="O23" s="21" t="n">
        <v>0.232078528121734</v>
      </c>
      <c r="P23" s="22" t="n">
        <v>0.5299884880035084</v>
      </c>
      <c r="Q23" s="21" t="n">
        <v>-0.2602831330757733</v>
      </c>
      <c r="R23" s="23">
        <f>HYPERLINK("https://www.digrin.com/stocks/detail/PFE/price", "Verified Price &amp; 10-K/Prospectus (PFE)")</f>
        <v/>
      </c>
    </row>
    <row r="24" ht="54" customHeight="1">
      <c r="A24" s="24" t="n">
        <v>22</v>
      </c>
      <c r="B24" s="7" t="inlineStr">
        <is>
          <t>ABT</t>
        </is>
      </c>
      <c r="C24" s="9" t="inlineStr">
        <is>
          <t>Abbott Laboratories</t>
        </is>
      </c>
      <c r="D24" s="24" t="inlineStr">
        <is>
          <t>Stock</t>
        </is>
      </c>
      <c r="E24" s="8" t="inlineStr">
        <is>
          <t>Health Care</t>
        </is>
      </c>
      <c r="F24" s="24" t="inlineStr">
        <is>
          <t>NYSE</t>
        </is>
      </c>
      <c r="G24" s="24" t="inlineStr">
        <is>
          <t>1929</t>
        </is>
      </c>
      <c r="H24" s="24" t="inlineStr">
        <is>
          <t>New Stock (HC +2)</t>
        </is>
      </c>
      <c r="I24" s="24" t="inlineStr">
        <is>
          <t>Y (96/96 + 36 OOS)</t>
        </is>
      </c>
      <c r="J24" s="9" t="inlineStr">
        <is>
          <t>Tier 2/3: MedTech &amp; Diagnostics Dividend Aristocrat</t>
        </is>
      </c>
      <c r="K24" s="8" t="inlineStr">
        <is>
          <t>ROIC 14.8% vs WACC 6.7% (Spread +8.1%); OCF/NI 1.32x; AA- credit rating, Interest Coverage 18.4x; 50+ consecutive years of dividend increases (Dividend King); 2015-2022 CAGR 13.92%/yr, Sharpe 0.69.</t>
        </is>
      </c>
      <c r="L24" s="8" t="inlineStr">
        <is>
          <t>Balanced 4-pillar model (Medical Devices led by FreeStyle Libre continuous glucose monitor; Diagnostics; Established Pharmaceuticals in emerging markets; Nutrition); successful integration of St. Jude Medical (2017).</t>
        </is>
      </c>
      <c r="M24" s="8" t="inlineStr">
        <is>
          <t>Provides steady med-tech growth (Downside Beta 0.57) that is insulated from binary FDA drug-trial failures and Medicare Part D drug-price negotiation risks.</t>
        </is>
      </c>
      <c r="N24" s="25" t="n">
        <v>0.1391684750465683</v>
      </c>
      <c r="O24" s="26" t="n">
        <v>0.2064775638129852</v>
      </c>
      <c r="P24" s="27" t="n">
        <v>0.6946438908631439</v>
      </c>
      <c r="Q24" s="26" t="n">
        <v>-0.3041816195974409</v>
      </c>
      <c r="R24" s="28">
        <f>HYPERLINK("https://www.digrin.com/stocks/detail/ABT/price", "Verified Price &amp; 10-K/Prospectus (ABT)")</f>
        <v/>
      </c>
    </row>
    <row r="25" ht="54" customHeight="1">
      <c r="A25" s="19" t="n">
        <v>23</v>
      </c>
      <c r="B25" s="4" t="inlineStr">
        <is>
          <t>MRK</t>
        </is>
      </c>
      <c r="C25" s="11" t="inlineStr">
        <is>
          <t>Merck &amp; Co., Inc.</t>
        </is>
      </c>
      <c r="D25" s="19" t="inlineStr">
        <is>
          <t>Stock</t>
        </is>
      </c>
      <c r="E25" s="5" t="inlineStr">
        <is>
          <t>Health Care</t>
        </is>
      </c>
      <c r="F25" s="19" t="inlineStr">
        <is>
          <t>NYSE</t>
        </is>
      </c>
      <c r="G25" s="19" t="inlineStr">
        <is>
          <t>1946</t>
        </is>
      </c>
      <c r="H25" s="19" t="inlineStr">
        <is>
          <t>New Stock (HC +3)</t>
        </is>
      </c>
      <c r="I25" s="19" t="inlineStr">
        <is>
          <t>Y (96/96 + 36 OOS)</t>
        </is>
      </c>
      <c r="J25" s="11" t="inlineStr">
        <is>
          <t>Tier 2: Negative-Downside-Beta Oncology &amp; Vaccine Anchor</t>
        </is>
      </c>
      <c r="K25" s="5" t="inlineStr">
        <is>
          <t>ROIC 21.6% vs WACC 6.3% (Spread +15.3%); OCF/NI 1.27x; A+ credit rating; Market Beta 0.48, Downside Beta -0.44 (rare negative downside beta!), 2015-2022 Max Drawdown only -17.62%, and surging +49% in the 2022 bear market.</t>
        </is>
      </c>
      <c r="L25" s="5" t="inlineStr">
        <is>
          <t>Immuno-oncology dominance via Keytruda ($20.9B sales in FY2022 across 30+ cancer indications) + Gardasil HPV vaccine monopoly; 2021 Organon spin-off shed off-patent legacy drugs; Caveat: Keytruda 2028 LOE concentration (&gt;35% revenue).</t>
        </is>
      </c>
      <c r="M25" s="5" t="inlineStr">
        <is>
          <t>Acts as an exceptional crisis hedge inside the Equity sleeve: its negative Downside Beta (-0.44) and low correlation with Tech/Financials actively compress portfolio variance during market sell-offs.</t>
        </is>
      </c>
      <c r="N25" s="20" t="n">
        <v>0.1284925907427097</v>
      </c>
      <c r="O25" s="21" t="n">
        <v>0.1970441055305024</v>
      </c>
      <c r="P25" s="22" t="n">
        <v>0.6708730791721143</v>
      </c>
      <c r="Q25" s="21" t="n">
        <v>-0.1761628728969322</v>
      </c>
      <c r="R25" s="23">
        <f>HYPERLINK("https://www.digrin.com/stocks/detail/MRK/price", "Verified Price &amp; 10-K/Prospectus (MRK)")</f>
        <v/>
      </c>
    </row>
    <row r="26" ht="54" customHeight="1">
      <c r="A26" s="24" t="n">
        <v>24</v>
      </c>
      <c r="B26" s="7" t="inlineStr">
        <is>
          <t>LLY</t>
        </is>
      </c>
      <c r="C26" s="9" t="inlineStr">
        <is>
          <t>Eli Lilly and Co.</t>
        </is>
      </c>
      <c r="D26" s="24" t="inlineStr">
        <is>
          <t>Stock</t>
        </is>
      </c>
      <c r="E26" s="8" t="inlineStr">
        <is>
          <t>Health Care</t>
        </is>
      </c>
      <c r="F26" s="24" t="inlineStr">
        <is>
          <t>NYSE</t>
        </is>
      </c>
      <c r="G26" s="24" t="inlineStr">
        <is>
          <t>1952</t>
        </is>
      </c>
      <c r="H26" s="24" t="inlineStr">
        <is>
          <t>New Stock (HC +4)</t>
        </is>
      </c>
      <c r="I26" s="24" t="inlineStr">
        <is>
          <t>Y (96/96 + 36 OOS)</t>
        </is>
      </c>
      <c r="J26" s="9" t="inlineStr">
        <is>
          <t>Tier 3: High-Alpha Metabolic/Incretin &amp; Immunology Leader</t>
        </is>
      </c>
      <c r="K26" s="8" t="inlineStr">
        <is>
          <t>ROIC 24.5% vs WACC 6.5% (Spread +18.0%); 2015-2022 CAGR 25.90%/yr, Sharpe 1.07, Market Beta 0.26, Downside Beta 0.10, Max Drawdown only -20.16%, and #2 highest statistically significant FF3 Alpha (+22.65%/yr, p=0.0056, R²=12.9%).</t>
        </is>
      </c>
      <c r="L26" s="8" t="inlineStr">
        <is>
          <t>Industry-leading R&amp;D productivity in diabetes/obesity incretins (Trulicity 2015-2022, Mounjaro/tirzepatide FDA approval May 2022), immunology (Taltz), and oncology (Verzenio); spun off Elanco Animal Health (2018-2019).</t>
        </is>
      </c>
      <c r="M26" s="8" t="inlineStr">
        <is>
          <t>The single best risk-adjusted stock in the 39-asset universe across both 2015-2022 (25.9%/yr CAGR, Beta 0.26) and 2023-2025 OOS (+44.4%/yr CAGR), combining venture-like R&amp;D alpha with bond-like low market correlation.</t>
        </is>
      </c>
      <c r="N26" s="25" t="n">
        <v>0.2589513653836069</v>
      </c>
      <c r="O26" s="26" t="n">
        <v>0.2340366415402408</v>
      </c>
      <c r="P26" s="27" t="n">
        <v>1.070087062664512</v>
      </c>
      <c r="Q26" s="26" t="n">
        <v>-0.2015630087919247</v>
      </c>
      <c r="R26" s="28">
        <f>HYPERLINK("https://www.digrin.com/stocks/detail/LLY/price", "Verified Price &amp; 10-K/Prospectus (LLY)")</f>
        <v/>
      </c>
    </row>
    <row r="27" ht="54" customHeight="1">
      <c r="A27" s="19" t="n">
        <v>25</v>
      </c>
      <c r="B27" s="4" t="inlineStr">
        <is>
          <t>BAC</t>
        </is>
      </c>
      <c r="C27" s="11" t="inlineStr">
        <is>
          <t>Bank of America Corp.</t>
        </is>
      </c>
      <c r="D27" s="19" t="inlineStr">
        <is>
          <t>Stock</t>
        </is>
      </c>
      <c r="E27" s="5" t="inlineStr">
        <is>
          <t>Financials</t>
        </is>
      </c>
      <c r="F27" s="19" t="inlineStr">
        <is>
          <t>NYSE</t>
        </is>
      </c>
      <c r="G27" s="19" t="inlineStr">
        <is>
          <t>1973</t>
        </is>
      </c>
      <c r="H27" s="19" t="inlineStr">
        <is>
          <t>New Stock (FIN +1)</t>
        </is>
      </c>
      <c r="I27" s="19" t="inlineStr">
        <is>
          <t>Y (96/96 + 36 OOS)</t>
        </is>
      </c>
      <c r="J27" s="11" t="inlineStr">
        <is>
          <t>Tier 3: High-Beta Rate-Sensitive Retail Deposit Franchise</t>
        </is>
      </c>
      <c r="K27" s="5" t="inlineStr">
        <is>
          <t>ROTCE improved from 7.5% (2015) to 15.8% (2021-2022); Market Beta 1.38, HML Value Beta +0.97 (p&lt;0.001); CET1 ratio 11.2%; Caveat: large Held-to-Maturity (HTM) agency MBS portfolio accumulated in 2020-2021 created unrealized duration losses in 2022.</t>
        </is>
      </c>
      <c r="L27" s="5" t="inlineStr">
        <is>
          <t>Brian Moynihan's 'Responsible Growth' strategy post-GFC slashed credit card charge-offs and built a $1.0T+ low-cost US consumer deposit base; Berkshire Hathaway (#1 shareholder) provided institutional governance validation.</t>
        </is>
      </c>
      <c r="M27" s="5" t="inlineStr">
        <is>
          <t>Reconciles the original workbook's 'Stock Returns' tab and provides high-beta cyclical value exposure (HML +0.97), though inferior to JPM in asset-liability duration management during 2022.</t>
        </is>
      </c>
      <c r="N27" s="20" t="n">
        <v>0.1008245403274919</v>
      </c>
      <c r="O27" s="21" t="n">
        <v>0.3057601508806464</v>
      </c>
      <c r="P27" s="22" t="n">
        <v>0.4397865449526953</v>
      </c>
      <c r="Q27" s="21" t="n">
        <v>-0.393366994468282</v>
      </c>
      <c r="R27" s="23">
        <f>HYPERLINK("https://www.digrin.com/stocks/detail/BAC/price", "Verified Price &amp; 10-K/Prospectus (BAC)")</f>
        <v/>
      </c>
    </row>
    <row r="28" ht="54" customHeight="1">
      <c r="A28" s="24" t="n">
        <v>26</v>
      </c>
      <c r="B28" s="7" t="inlineStr">
        <is>
          <t>BLK</t>
        </is>
      </c>
      <c r="C28" s="9" t="inlineStr">
        <is>
          <t>BlackRock, Inc.</t>
        </is>
      </c>
      <c r="D28" s="24" t="inlineStr">
        <is>
          <t>Stock</t>
        </is>
      </c>
      <c r="E28" s="8" t="inlineStr">
        <is>
          <t>Financials</t>
        </is>
      </c>
      <c r="F28" s="24" t="inlineStr">
        <is>
          <t>NYSE</t>
        </is>
      </c>
      <c r="G28" s="24" t="inlineStr">
        <is>
          <t>1999</t>
        </is>
      </c>
      <c r="H28" s="24" t="inlineStr">
        <is>
          <t>New Stock (FIN +2)</t>
        </is>
      </c>
      <c r="I28" s="24" t="inlineStr">
        <is>
          <t>Y (96/96 + 36 OOS)</t>
        </is>
      </c>
      <c r="J28" s="9" t="inlineStr">
        <is>
          <t>Tier 3: Capital-Light Asset Management &amp; FinTech Compounder</t>
        </is>
      </c>
      <c r="K28" s="8" t="inlineStr">
        <is>
          <t>ROIC 14.9% (over 30% tangible ROIC excluding goodwill), Operating Margin &gt;40%, OCF/NI 1.15x; AA- credit rating (minimal balance-sheet credit risk compared to commercial banks); 2015-2022 CAGR 11.71%/yr, Market Beta 1.31.</t>
        </is>
      </c>
      <c r="L28" s="8" t="inlineStr">
        <is>
          <t>Global #1 asset manager (AUM grew from $4.6T in 2015 to $8.6T in 2022, peaking at $10T in 2021) driven by iShares ETF dominance and Aladdin enterprise risk-management software ($1.4B+ recurring tech revenue).</t>
        </is>
      </c>
      <c r="M28" s="8" t="inlineStr">
        <is>
          <t>Diversifies the Financials sleeve away from bank credit/loan-loss risk into capital-light fee-on-AUM and institutional SaaS revenue (Aladdin), directly aligned with the secular shift toward ETFs.</t>
        </is>
      </c>
      <c r="N28" s="25" t="n">
        <v>0.1170984938900894</v>
      </c>
      <c r="O28" s="26" t="n">
        <v>0.2565609663693161</v>
      </c>
      <c r="P28" s="27" t="n">
        <v>0.5279270340211557</v>
      </c>
      <c r="Q28" s="26" t="n">
        <v>-0.4015142496607224</v>
      </c>
      <c r="R28" s="28">
        <f>HYPERLINK("https://www.digrin.com/stocks/detail/BLK/price", "Verified Price &amp; 10-K/Prospectus (BLK)")</f>
        <v/>
      </c>
    </row>
    <row r="29" ht="54" customHeight="1">
      <c r="A29" s="19" t="n">
        <v>27</v>
      </c>
      <c r="B29" s="4" t="inlineStr">
        <is>
          <t>AXP</t>
        </is>
      </c>
      <c r="C29" s="11" t="inlineStr">
        <is>
          <t>American Express Co.</t>
        </is>
      </c>
      <c r="D29" s="19" t="inlineStr">
        <is>
          <t>Stock</t>
        </is>
      </c>
      <c r="E29" s="5" t="inlineStr">
        <is>
          <t>Financials</t>
        </is>
      </c>
      <c r="F29" s="19" t="inlineStr">
        <is>
          <t>NYSE</t>
        </is>
      </c>
      <c r="G29" s="19" t="inlineStr">
        <is>
          <t>1977</t>
        </is>
      </c>
      <c r="H29" s="19" t="inlineStr">
        <is>
          <t>New Stock (FIN +3)</t>
        </is>
      </c>
      <c r="I29" s="19" t="inlineStr">
        <is>
          <t>Y (96/96 + 36 OOS)</t>
        </is>
      </c>
      <c r="J29" s="11" t="inlineStr">
        <is>
          <t>Tier 3: Affluent Closed-Loop Payments &amp; Inflation Toll-Road</t>
        </is>
      </c>
      <c r="K29" s="5" t="inlineStr">
        <is>
          <t>ROE &gt;28.0% vs COE 9.8% (Spread +18.2%); HML Beta +0.59, Market Beta 1.10; Net Write-off Rate &lt;2.0% (lowest in card industry due to prime/super-prime cardmember base); 2023-2025 OOS CAGR +37.49%/yr.</t>
        </is>
      </c>
      <c r="L29" s="5" t="inlineStr">
        <is>
          <t>Unique closed-loop network (issuer + acquirer + network) capturing merchant discount fees (2.3%-2.5% of transaction value) + annual Platinum/Gold card subscription fees; Berkshire Hathaway 20%+ permanent anchor stake.</t>
        </is>
      </c>
      <c r="M29" s="5" t="inlineStr">
        <is>
          <t>Acts as an automatic inflation hedge inside Financials: because merchant discount revenue is a percentage of nominal spending on travel, dining, and business T&amp;E, nominal price inflation directly expands AXP's top-line fee pool.</t>
        </is>
      </c>
      <c r="N29" s="20" t="n">
        <v>0.07555386520285379</v>
      </c>
      <c r="O29" s="21" t="n">
        <v>0.2620274308584882</v>
      </c>
      <c r="P29" s="22" t="n">
        <v>0.3788337355459286</v>
      </c>
      <c r="Q29" s="21" t="n">
        <v>-0.4143835616438359</v>
      </c>
      <c r="R29" s="23">
        <f>HYPERLINK("https://www.digrin.com/stocks/detail/AXP/price", "Verified Price &amp; 10-K/Prospectus (AXP)")</f>
        <v/>
      </c>
    </row>
    <row r="30" ht="54" customHeight="1">
      <c r="A30" s="24" t="n">
        <v>28</v>
      </c>
      <c r="B30" s="7" t="inlineStr">
        <is>
          <t>KO</t>
        </is>
      </c>
      <c r="C30" s="9" t="inlineStr">
        <is>
          <t>The Coca-Cola Co.</t>
        </is>
      </c>
      <c r="D30" s="24" t="inlineStr">
        <is>
          <t>Stock</t>
        </is>
      </c>
      <c r="E30" s="8" t="inlineStr">
        <is>
          <t>Consumer Staples</t>
        </is>
      </c>
      <c r="F30" s="24" t="inlineStr">
        <is>
          <t>NYSE</t>
        </is>
      </c>
      <c r="G30" s="24" t="inlineStr">
        <is>
          <t>1919</t>
        </is>
      </c>
      <c r="H30" s="24" t="inlineStr">
        <is>
          <t>New Stock (CS +1)</t>
        </is>
      </c>
      <c r="I30" s="24" t="inlineStr">
        <is>
          <t>Y (96/96 + 36 OOS)</t>
        </is>
      </c>
      <c r="J30" s="9" t="inlineStr">
        <is>
          <t>Tier 2: Global Beverage Toll-Road &amp; Low-Beta Income</t>
        </is>
      </c>
      <c r="K30" s="8" t="inlineStr">
        <is>
          <t>ROIC 18.5% vs WACC 6.0% (Spread +12.5%); Operating Margin &gt;28% post-refranchising; OCF/NI 1.18x; A+ credit rating; 60 consecutive years of dividend increases (~3.0% yield); Market Beta 0.61, Downside Beta 0.47, SMB -0.75.</t>
        </is>
      </c>
      <c r="L30" s="8" t="inlineStr">
        <is>
          <t>2015-2019 strategic refranchising of capital-intensive bottling territories transformed KO into a high-margin concentrate &amp; brand owner (Costa Coffee 2019, Fairlife 2020, BodyArmor 2021); +11% price/mix pass-through in 2022.</t>
        </is>
      </c>
      <c r="M30" s="8" t="inlineStr">
        <is>
          <t>Reconciles the original workbook's 'Stock Returns' tab and provides dependable dividend cash flow and low market beta (0.61) to support annual Endowment spending distributions.</t>
        </is>
      </c>
      <c r="N30" s="25" t="n">
        <v>0.0868983752424668</v>
      </c>
      <c r="O30" s="26" t="n">
        <v>0.1611614279042519</v>
      </c>
      <c r="P30" s="27" t="n">
        <v>0.5475315940660623</v>
      </c>
      <c r="Q30" s="26" t="n">
        <v>-0.2356556008</v>
      </c>
      <c r="R30" s="28">
        <f>HYPERLINK("https://www.digrin.com/stocks/detail/KO/price", "Verified Price &amp; 10-K/Prospectus (KO)")</f>
        <v/>
      </c>
    </row>
    <row r="31" ht="54" customHeight="1">
      <c r="A31" s="19" t="n">
        <v>29</v>
      </c>
      <c r="B31" s="4" t="inlineStr">
        <is>
          <t>PEP</t>
        </is>
      </c>
      <c r="C31" s="11" t="inlineStr">
        <is>
          <t>PepsiCo, Inc.</t>
        </is>
      </c>
      <c r="D31" s="19" t="inlineStr">
        <is>
          <t>Stock</t>
        </is>
      </c>
      <c r="E31" s="5" t="inlineStr">
        <is>
          <t>Consumer Staples</t>
        </is>
      </c>
      <c r="F31" s="19" t="inlineStr">
        <is>
          <t>NASDAQ</t>
        </is>
      </c>
      <c r="G31" s="19" t="inlineStr">
        <is>
          <t>1919</t>
        </is>
      </c>
      <c r="H31" s="19" t="inlineStr">
        <is>
          <t>New Stock (CS +2)</t>
        </is>
      </c>
      <c r="I31" s="19" t="inlineStr">
        <is>
          <t>Y (96/96 + 36 OOS)</t>
        </is>
      </c>
      <c r="J31" s="11" t="inlineStr">
        <is>
          <t>Tier 2: Snack-Plus-Beverage Quality Defensive Leader</t>
        </is>
      </c>
      <c r="K31" s="5" t="inlineStr">
        <is>
          <t>ROIC 17.8% vs WACC 6.1% (Spread +11.7%); negative working capital; A+ credit rating; 50 consecutive years of dividend growth; 2015-2022 CAGR 11.61%/yr, Volatility 15.27% (lowest of all 31 stocks!), Sharpe 0.74, MDD only -15.47%, Downside Beta 0.32.</t>
        </is>
      </c>
      <c r="L31" s="5" t="inlineStr">
        <is>
          <t>Frito-Lay North America (&gt;55% of operating profit, dominant salty-snack shelf space with zero private-label threat) + Pepsi beverages; demonstrated +14% organic price/mix power in 2022 under CEO Ramon Laguarta.</t>
        </is>
      </c>
      <c r="M31" s="5" t="inlineStr">
        <is>
          <t>Superior risk-adjusted staple over KO during 2015-2022 (Sharpe 0.74 vs 0.55, MDD -15.47% vs -23.57%) because Frito-Lay's at-home snacking boomed during 2020 lockdowns when KO's away-from-home fountain sales fell.</t>
        </is>
      </c>
      <c r="N31" s="20" t="n">
        <v>0.1160823274895977</v>
      </c>
      <c r="O31" s="21" t="n">
        <v>0.1526688110003387</v>
      </c>
      <c r="P31" s="22" t="n">
        <v>0.7420651839552118</v>
      </c>
      <c r="Q31" s="21" t="n">
        <v>-0.1547215231425758</v>
      </c>
      <c r="R31" s="23">
        <f>HYPERLINK("https://www.digrin.com/stocks/detail/PEP/price", "Verified Price &amp; 10-K/Prospectus (PEP)")</f>
        <v/>
      </c>
    </row>
    <row r="32" ht="54" customHeight="1">
      <c r="A32" s="24" t="n">
        <v>30</v>
      </c>
      <c r="B32" s="7" t="inlineStr">
        <is>
          <t>WMT</t>
        </is>
      </c>
      <c r="C32" s="9" t="inlineStr">
        <is>
          <t>Walmart Inc.</t>
        </is>
      </c>
      <c r="D32" s="24" t="inlineStr">
        <is>
          <t>Stock</t>
        </is>
      </c>
      <c r="E32" s="8" t="inlineStr">
        <is>
          <t>Consumer Staples</t>
        </is>
      </c>
      <c r="F32" s="24" t="inlineStr">
        <is>
          <t>NYSE</t>
        </is>
      </c>
      <c r="G32" s="24" t="inlineStr">
        <is>
          <t>1972</t>
        </is>
      </c>
      <c r="H32" s="24" t="inlineStr">
        <is>
          <t>New Stock (CS +3)</t>
        </is>
      </c>
      <c r="I32" s="24" t="inlineStr">
        <is>
          <t>Y (96/96 + 36 OOS)</t>
        </is>
      </c>
      <c r="J32" s="9" t="inlineStr">
        <is>
          <t>Tier 2: Counter-Cyclical Trade-Down Hedge &amp; Negative Downside Beta</t>
        </is>
      </c>
      <c r="K32" s="8" t="inlineStr">
        <is>
          <t>ROIC 13.4% vs WACC 5.9% (Spread +7.5%); OCF $28.8B (FY2022); AA credit rating; Market Beta 0.53, FF3 R² = 23.3%, and rare negative Downside Beta (-0.35 vs VTI!) — WMT gained during the Feb-Mar 2020 COVID crash; 3-for-1 split in Feb 2024.</t>
        </is>
      </c>
      <c r="L32" s="8" t="inlineStr">
        <is>
          <t>Doug McMillon's omnichannel transformation (2016 Jet.com acquisition, 4,700+ US stores converted into curbside pickup/delivery nodes, Walmart+ membership, and high-margin Walmart Connect advertising); #1 US grocer (&gt;25% market share).</t>
        </is>
      </c>
      <c r="M32" s="8" t="inlineStr">
        <is>
          <t>Provides a powerful consumer trade-down hedge: when inflation or recession squeezes households, middle- and high-income shoppers trade down to Walmart grocery, driving negative Downside Beta (-0.35) and +34.7%/yr OOS return in 2023-2025.</t>
        </is>
      </c>
      <c r="N32" s="25" t="n">
        <v>0.08794603303501769</v>
      </c>
      <c r="O32" s="26" t="n">
        <v>0.1901820661803493</v>
      </c>
      <c r="P32" s="27" t="n">
        <v>0.4952962766661887</v>
      </c>
      <c r="Q32" s="26" t="n">
        <v>-0.3207628955353271</v>
      </c>
      <c r="R32" s="28">
        <f>HYPERLINK("https://www.digrin.com/stocks/detail/WMT/price", "Verified Price &amp; 10-K/Prospectus (WMT)")</f>
        <v/>
      </c>
    </row>
    <row r="33" ht="54" customHeight="1">
      <c r="A33" s="19" t="n">
        <v>31</v>
      </c>
      <c r="B33" s="4" t="inlineStr">
        <is>
          <t>CVX</t>
        </is>
      </c>
      <c r="C33" s="11" t="inlineStr">
        <is>
          <t>Chevron Corp.</t>
        </is>
      </c>
      <c r="D33" s="19" t="inlineStr">
        <is>
          <t>Stock</t>
        </is>
      </c>
      <c r="E33" s="5" t="inlineStr">
        <is>
          <t>Energy</t>
        </is>
      </c>
      <c r="F33" s="19" t="inlineStr">
        <is>
          <t>NYSE</t>
        </is>
      </c>
      <c r="G33" s="19" t="inlineStr">
        <is>
          <t>1921</t>
        </is>
      </c>
      <c r="H33" s="19" t="inlineStr">
        <is>
          <t>New Stock (EN +1)</t>
        </is>
      </c>
      <c r="I33" s="19" t="inlineStr">
        <is>
          <t>Y (96/96 + 36 OOS)</t>
        </is>
      </c>
      <c r="J33" s="11" t="inlineStr">
        <is>
          <t>Tier 2/3: Fortress-Balance-Sheet Integrated Energy &amp; Inflation Hedge</t>
        </is>
      </c>
      <c r="K33" s="5" t="inlineStr">
        <is>
          <t>2015-2022 CAGR 10.74%/yr (outperforming XOM's 7.05%/yr by +369 bps/yr!) with lower Max Drawdown (-40.66% vs XOM's -57.71%); Net Debt-to-Capital &lt;15% (AA- credit rating); 35 consecutive years of dividend increases; HML Beta +0.98.</t>
        </is>
      </c>
      <c r="L33" s="5" t="inlineStr">
        <is>
          <t>Walked away from the overpriced Anadarko bidding war in 2019 (collecting a $1B breakup fee) and bought Noble Energy at the 2020 cycle bottom; advantaged Permian Basin royalty acreage (zero royalty cost on legacy land grants) and Tengiz/Gorgon LNG.</t>
        </is>
      </c>
      <c r="M33" s="5" t="inlineStr">
        <is>
          <t>Higher-quality integrated energy alternative to XOM during 2015-2022: CVX protected its dividend and balance sheet through the 2020 negative-oil-price shock while delivering +58% total return in the 2022 inflation spike.</t>
        </is>
      </c>
      <c r="N33" s="20" t="n">
        <v>0.1074074533502698</v>
      </c>
      <c r="O33" s="21" t="n">
        <v>0.2898697341353346</v>
      </c>
      <c r="P33" s="22" t="n">
        <v>0.462911147925287</v>
      </c>
      <c r="Q33" s="21" t="n">
        <v>-0.4066079295154184</v>
      </c>
      <c r="R33" s="23">
        <f>HYPERLINK("https://www.digrin.com/stocks/detail/CVX/price", "Verified Price &amp; 10-K/Prospectus (CVX)")</f>
        <v/>
      </c>
    </row>
    <row r="34" ht="54" customHeight="1">
      <c r="A34" s="24" t="n">
        <v>32</v>
      </c>
      <c r="B34" s="7" t="inlineStr">
        <is>
          <t>COP</t>
        </is>
      </c>
      <c r="C34" s="9" t="inlineStr">
        <is>
          <t>ConocoPhillips</t>
        </is>
      </c>
      <c r="D34" s="24" t="inlineStr">
        <is>
          <t>Stock</t>
        </is>
      </c>
      <c r="E34" s="8" t="inlineStr">
        <is>
          <t>Energy</t>
        </is>
      </c>
      <c r="F34" s="24" t="inlineStr">
        <is>
          <t>NYSE</t>
        </is>
      </c>
      <c r="G34" s="24" t="inlineStr">
        <is>
          <t>1917</t>
        </is>
      </c>
      <c r="H34" s="24" t="inlineStr">
        <is>
          <t>New Stock (EN +2)</t>
        </is>
      </c>
      <c r="I34" s="24" t="inlineStr">
        <is>
          <t>Y (96/96 + 36 OOS)</t>
        </is>
      </c>
      <c r="J34" s="9" t="inlineStr">
        <is>
          <t>Tier 3: Pure-Play Upstream E&amp;P &amp; Variable Cash-Return Leader</t>
        </is>
      </c>
      <c r="K34" s="8" t="inlineStr">
        <is>
          <t>ROIC surged to &gt;27% in 2022; 2015-2022 CAGR 10.42%/yr, Volatility 39.77%, HML Beta +1.49; A- credit rating with &lt;$28/bbl WTI breakeven cost of supply.</t>
        </is>
      </c>
      <c r="L34" s="8" t="inlineStr">
        <is>
          <t>Pioneered the E&amp;P 'Return of Capital' framework (&gt;30% of OCF returned via base dividend + Variable Return of Cash [VROC] + buybacks); Opportunistic low-cost Permian acquisitions (Concho Resources late 2020, Shell Permian 2021).</t>
        </is>
      </c>
      <c r="M34" s="8" t="inlineStr">
        <is>
          <t>Provides higher direct oil-beta torque than integrated refiners (XOM/CVX) for tactical inflation hedging, though its 39.8% volatility and -60.5% MDD require small position sizing.</t>
        </is>
      </c>
      <c r="N34" s="25" t="n">
        <v>0.1041871541993946</v>
      </c>
      <c r="O34" s="26" t="n">
        <v>0.3977230702813902</v>
      </c>
      <c r="P34" s="27" t="n">
        <v>0.4214706992463872</v>
      </c>
      <c r="Q34" s="26" t="n">
        <v>-0.6051350897801646</v>
      </c>
      <c r="R34" s="28">
        <f>HYPERLINK("https://www.digrin.com/stocks/detail/COP/price", "Verified Price &amp; 10-K/Prospectus (COP)")</f>
        <v/>
      </c>
    </row>
    <row r="35" ht="54" customHeight="1">
      <c r="A35" s="19" t="n">
        <v>33</v>
      </c>
      <c r="B35" s="4" t="inlineStr">
        <is>
          <t>SLB</t>
        </is>
      </c>
      <c r="C35" s="11" t="inlineStr">
        <is>
          <t>SLB (formerly Schlumberger)</t>
        </is>
      </c>
      <c r="D35" s="19" t="inlineStr">
        <is>
          <t>Stock</t>
        </is>
      </c>
      <c r="E35" s="5" t="inlineStr">
        <is>
          <t>Energy</t>
        </is>
      </c>
      <c r="F35" s="19" t="inlineStr">
        <is>
          <t>NYSE</t>
        </is>
      </c>
      <c r="G35" s="19" t="inlineStr">
        <is>
          <t>1962</t>
        </is>
      </c>
      <c r="H35" s="19" t="inlineStr">
        <is>
          <t>New Stock (EN +3)</t>
        </is>
      </c>
      <c r="I35" s="19" t="inlineStr">
        <is>
          <t>Y (96/96 + 36 OOS)</t>
        </is>
      </c>
      <c r="J35" s="11" t="inlineStr">
        <is>
          <t>Tier 3: Global Oilfield Services &amp; Capex Cycle Diagnostic</t>
        </is>
      </c>
      <c r="K35" s="5" t="inlineStr">
        <is>
          <t>2015-2022 CAGR -2.88%/yr, Volatility 43.65%, Max Drawdown -82.98%, Downside Beta 1.92, Market Beta 1.52, HML Beta +1.78; suffered $11B+ goodwill/asset impairments in 2019-2020 and a 75% dividend cut in April 2020.</t>
        </is>
      </c>
      <c r="L35" s="5" t="inlineStr">
        <is>
          <t>World's #1 offshore and international oilfield services &amp; digital reservoir technology provider (&gt;75% revenue outside North America); pivoted in 2020-2022 under CEO Olivier Le Peuch toward capital-light digital software and New Energy.</t>
        </is>
      </c>
      <c r="M35" s="5" t="inlineStr">
        <is>
          <t>Included as a critical empirical case study in 'Value Trap &amp; Capex Cycle Risk': proves why an Endowment must not blindly buy high-HML energy stocks without screening for ROIC stability, asset writedowns, and -83% tail-drawdown risk.</t>
        </is>
      </c>
      <c r="N35" s="20" t="n">
        <v>-0.02883971874450264</v>
      </c>
      <c r="O35" s="21" t="n">
        <v>0.4365277528380066</v>
      </c>
      <c r="P35" s="22" t="n">
        <v>0.1372452508183757</v>
      </c>
      <c r="Q35" s="21" t="n">
        <v>-0.8298398835516739</v>
      </c>
      <c r="R35" s="23">
        <f>HYPERLINK("https://www.digrin.com/stocks/detail/SLB/price", "Verified Price &amp; 10-K/Prospectus (SLB)")</f>
        <v/>
      </c>
    </row>
    <row r="36" ht="54" customHeight="1">
      <c r="A36" s="24" t="n">
        <v>34</v>
      </c>
      <c r="B36" s="7" t="inlineStr">
        <is>
          <t>MCD</t>
        </is>
      </c>
      <c r="C36" s="9" t="inlineStr">
        <is>
          <t>McDonald's Corp.</t>
        </is>
      </c>
      <c r="D36" s="24" t="inlineStr">
        <is>
          <t>Stock</t>
        </is>
      </c>
      <c r="E36" s="8" t="inlineStr">
        <is>
          <t>Consumer Discretionary</t>
        </is>
      </c>
      <c r="F36" s="24" t="inlineStr">
        <is>
          <t>NYSE</t>
        </is>
      </c>
      <c r="G36" s="24" t="inlineStr">
        <is>
          <t>1965</t>
        </is>
      </c>
      <c r="H36" s="24" t="inlineStr">
        <is>
          <t>New Stock (CD +1)</t>
        </is>
      </c>
      <c r="I36" s="24" t="inlineStr">
        <is>
          <t>Y (96/96 + 36 OOS)</t>
        </is>
      </c>
      <c r="J36" s="9" t="inlineStr">
        <is>
          <t>Tier 2/3: Franchise Real-Estate Toll-Road &amp; Defensive Discretionary</t>
        </is>
      </c>
      <c r="K36" s="8" t="inlineStr">
        <is>
          <t>ROIC &gt;22.0% vs WACC 6.4% (Spread +15.6%); Operating Margin &gt;43% post-refranchising; 2015-2022 CAGR 16.79%/yr, Volatility 17.54%, Sharpe 0.93, Downside Beta 0.67, Max Drawdown -23.18%, FF3 Alpha +9.07%/yr (p=0.0653); 46-yr dividend growth streak.</t>
        </is>
      </c>
      <c r="L36" s="8" t="inlineStr">
        <is>
          <t>2015-2019 refranchising to 93%+ franchised restaurants converted MCD into a commercial real-estate landlord &amp; royalty collector (rent + 4%-5% of gross sales); 'Accelerating the Arches' (3Ds: Digital, Delivery, Drive-Thru) drove rapid 2020-2022 comps.</t>
        </is>
      </c>
      <c r="M36" s="8" t="inlineStr">
        <is>
          <t>Behaves like a high-growth Consumer Staple with inflation-linked rent/royalty cash flows and recession trade-down resilience, delivering the highest Sharpe Ratio (0.93) in the Consumer Discretionary sector.</t>
        </is>
      </c>
      <c r="N36" s="25" t="n">
        <v>0.1679494875736054</v>
      </c>
      <c r="O36" s="26" t="n">
        <v>0.1754236463151021</v>
      </c>
      <c r="P36" s="27" t="n">
        <v>0.9278526127774137</v>
      </c>
      <c r="Q36" s="26" t="n">
        <v>-0.2317719601903937</v>
      </c>
      <c r="R36" s="28">
        <f>HYPERLINK("https://www.digrin.com/stocks/detail/MCD/price", "Verified Price &amp; 10-K/Prospectus (MCD)")</f>
        <v/>
      </c>
    </row>
    <row r="37" ht="54" customHeight="1">
      <c r="A37" s="19" t="n">
        <v>35</v>
      </c>
      <c r="B37" s="4" t="inlineStr">
        <is>
          <t>NKE</t>
        </is>
      </c>
      <c r="C37" s="11" t="inlineStr">
        <is>
          <t>NIKE, Inc.</t>
        </is>
      </c>
      <c r="D37" s="19" t="inlineStr">
        <is>
          <t>Stock</t>
        </is>
      </c>
      <c r="E37" s="5" t="inlineStr">
        <is>
          <t>Consumer Discretionary</t>
        </is>
      </c>
      <c r="F37" s="19" t="inlineStr">
        <is>
          <t>NYSE</t>
        </is>
      </c>
      <c r="G37" s="19" t="inlineStr">
        <is>
          <t>1980</t>
        </is>
      </c>
      <c r="H37" s="19" t="inlineStr">
        <is>
          <t>New Stock (CD +2)</t>
        </is>
      </c>
      <c r="I37" s="19" t="inlineStr">
        <is>
          <t>Y (96/96 + 36 OOS)</t>
        </is>
      </c>
      <c r="J37" s="11" t="inlineStr">
        <is>
          <t>Tier 3: Global Athletic Brand &amp; Direct-to-Consumer Growth</t>
        </is>
      </c>
      <c r="K37" s="5" t="inlineStr">
        <is>
          <t>ROIC 26.4% (2015-2021 average); AA- credit rating with strong net cash buffer; 2015-2022 CAGR 12.96%/yr, Market Beta 0.99; Caveat: 2022 inventory glut and China COVID lockdowns triggered a -50.42% Max Drawdown (and -16.9%/yr OOS in 2023-2025).</t>
        </is>
      </c>
      <c r="L37" s="5" t="inlineStr">
        <is>
          <t>'Consumer Direct Acceleration' (2017-2022) expanded NIKE Direct &amp; SNKRS app digital sales to &gt;42% of revenue, lifting gross margins through 2021 before wholesale channel alienation and supply-chain bullwhip hit in 2022.</t>
        </is>
      </c>
      <c r="M37" s="5" t="inlineStr">
        <is>
          <t>Illustrates brand-moat pricing power during 2015-2021 alongside supply-chain inventory and geopolitical (Greater China &gt;17% EBIT) concentration risks that require disciplined position limits.</t>
        </is>
      </c>
      <c r="N37" s="20" t="n">
        <v>0.1295546330847381</v>
      </c>
      <c r="O37" s="21" t="n">
        <v>0.2547697941814241</v>
      </c>
      <c r="P37" s="22" t="n">
        <v>0.5735990532677796</v>
      </c>
      <c r="Q37" s="21" t="n">
        <v>-0.5041782729805016</v>
      </c>
      <c r="R37" s="23">
        <f>HYPERLINK("https://www.digrin.com/stocks/detail/NKE/price", "Verified Price &amp; 10-K/Prospectus (NKE)")</f>
        <v/>
      </c>
    </row>
    <row r="38" ht="54" customHeight="1">
      <c r="A38" s="24" t="n">
        <v>36</v>
      </c>
      <c r="B38" s="7" t="inlineStr">
        <is>
          <t>SBUX</t>
        </is>
      </c>
      <c r="C38" s="9" t="inlineStr">
        <is>
          <t>Starbucks Corp.</t>
        </is>
      </c>
      <c r="D38" s="24" t="inlineStr">
        <is>
          <t>Stock</t>
        </is>
      </c>
      <c r="E38" s="8" t="inlineStr">
        <is>
          <t>Consumer Discretionary</t>
        </is>
      </c>
      <c r="F38" s="24" t="inlineStr">
        <is>
          <t>NASDAQ</t>
        </is>
      </c>
      <c r="G38" s="24" t="inlineStr">
        <is>
          <t>1992</t>
        </is>
      </c>
      <c r="H38" s="24" t="inlineStr">
        <is>
          <t>New Stock (CD +3)</t>
        </is>
      </c>
      <c r="I38" s="24" t="inlineStr">
        <is>
          <t>Y (96/96 + 36 OOS)</t>
        </is>
      </c>
      <c r="J38" s="9" t="inlineStr">
        <is>
          <t>Tier 3: Global Beverage Habit &amp; Negative-Working-Capital Float</t>
        </is>
      </c>
      <c r="K38" s="8" t="inlineStr">
        <is>
          <t>ROIC &gt;29.0% vs WACC 7.4%; OCF/NI 1.25x supported by ~$1.6B in stored-value Starbucks Card / Rewards app customer float (0% cost of capital); 2015-2022 CAGR 13.75%/yr, Sharpe 0.63; BBB+ credit rating after leveraged buybacks in 2018-2019.</t>
        </is>
      </c>
      <c r="L38" s="8" t="inlineStr">
        <is>
          <t>35,000+ global stores by 2022; Digital Rewards loyalty program (&gt;28M active US members driving 55% of US tendered sales) and cold-beverage customization drove ticket growth; Caveat: 2021-2022 US store unionization headlines &amp; China zero-COVID volatility.</t>
        </is>
      </c>
      <c r="M38" s="8" t="inlineStr">
        <is>
          <t>Provides high-ROIC experiential consumer growth backed by interest-free customer預paid float, while serving as a governance case study on leveraged buybacks and labor-relations headline risk for University Endowments.</t>
        </is>
      </c>
      <c r="N38" s="25" t="n">
        <v>0.1375149304469829</v>
      </c>
      <c r="O38" s="26" t="n">
        <v>0.2340786904843831</v>
      </c>
      <c r="P38" s="27" t="n">
        <v>0.6334231688529578</v>
      </c>
      <c r="Q38" s="26" t="n">
        <v>-0.3771407297096053</v>
      </c>
      <c r="R38" s="28">
        <f>HYPERLINK("https://www.digrin.com/stocks/detail/SBUX/price", "Verified Price &amp; 10-K/Prospectus (SBUX)")</f>
        <v/>
      </c>
    </row>
    <row r="39" ht="54" customHeight="1">
      <c r="A39" s="19" t="n">
        <v>37</v>
      </c>
      <c r="B39" s="4" t="inlineStr">
        <is>
          <t>DUK</t>
        </is>
      </c>
      <c r="C39" s="11" t="inlineStr">
        <is>
          <t>Duke Energy Corp.</t>
        </is>
      </c>
      <c r="D39" s="19" t="inlineStr">
        <is>
          <t>Stock</t>
        </is>
      </c>
      <c r="E39" s="5" t="inlineStr">
        <is>
          <t>Utilities</t>
        </is>
      </c>
      <c r="F39" s="19" t="inlineStr">
        <is>
          <t>NYSE</t>
        </is>
      </c>
      <c r="G39" s="19" t="inlineStr">
        <is>
          <t>1961</t>
        </is>
      </c>
      <c r="H39" s="19" t="inlineStr">
        <is>
          <t>New Stock (UT +1)</t>
        </is>
      </c>
      <c r="I39" s="19" t="inlineStr">
        <is>
          <t>Y (96/96 + 36 OOS)</t>
        </is>
      </c>
      <c r="J39" s="11" t="inlineStr">
        <is>
          <t>Tier 2: Pure-Play Regulated Electric &amp; Gas Utility Ballast</t>
        </is>
      </c>
      <c r="K39" s="5" t="inlineStr">
        <is>
          <t>Allowed Regulated ROE ~9.6%-10.1%; Market Beta 0.38 (lowest of all 31 stocks alongside LLY!), 2015-2022 Max Drawdown only -18.81%, Volatility 17.31%, Dividend Yield ~4.0%; Interest Coverage 3.4x on regulated rate-base debt.</t>
        </is>
      </c>
      <c r="L39" s="5" t="inlineStr">
        <is>
          <t>Serves 8.2M electric customers across high-inflow Southeast/Midwest states (NC, SC, FL, IN, OH, KY); exited merchant generation and commercial renewables (2022 strategic review) to become a 100% regulated rate-base utility.</t>
        </is>
      </c>
      <c r="M39" s="5" t="inlineStr">
        <is>
          <t>Provides ultra-low Market Beta (0.38) and ~4.0% bond-like cash yield to anchor the Defensive Sleeve, with constructive Southeast demographic growth supporting 6%-7% annual rate-base expansion.</t>
        </is>
      </c>
      <c r="N39" s="20" t="n">
        <v>0.07050247369920104</v>
      </c>
      <c r="O39" s="21" t="n">
        <v>0.1730684904550045</v>
      </c>
      <c r="P39" s="22" t="n">
        <v>0.4315287484337694</v>
      </c>
      <c r="Q39" s="21" t="n">
        <v>-0.1880912632164717</v>
      </c>
      <c r="R39" s="23">
        <f>HYPERLINK("https://www.digrin.com/stocks/detail/DUK/price", "Verified Price &amp; 10-K/Prospectus (DUK)")</f>
        <v/>
      </c>
    </row>
    <row r="40" ht="54" customHeight="1">
      <c r="A40" s="24" t="n">
        <v>38</v>
      </c>
      <c r="B40" s="7" t="inlineStr">
        <is>
          <t>AEP</t>
        </is>
      </c>
      <c r="C40" s="9" t="inlineStr">
        <is>
          <t>American Electric Power Co.</t>
        </is>
      </c>
      <c r="D40" s="24" t="inlineStr">
        <is>
          <t>Stock</t>
        </is>
      </c>
      <c r="E40" s="8" t="inlineStr">
        <is>
          <t>Utilities</t>
        </is>
      </c>
      <c r="F40" s="24" t="inlineStr">
        <is>
          <t>NASDAQ</t>
        </is>
      </c>
      <c r="G40" s="24" t="inlineStr">
        <is>
          <t>1949</t>
        </is>
      </c>
      <c r="H40" s="24" t="inlineStr">
        <is>
          <t>New Stock (UT +2)</t>
        </is>
      </c>
      <c r="I40" s="24" t="inlineStr">
        <is>
          <t>Y (96/96 + 36 OOS)</t>
        </is>
      </c>
      <c r="J40" s="9" t="inlineStr">
        <is>
          <t>Tier 2: High-Voltage Transmission Grid &amp; Regulated Utility</t>
        </is>
      </c>
      <c r="K40" s="8" t="inlineStr">
        <is>
          <t>Allowed ROE ~9.9%; 2015-2022 CAGR 9.47%/yr, Volatility 18.56%, Market Beta 0.42, FF3 R² = 22.4%, Dividend Yield ~3.5%; 112+ years of uninterrupted dividend payments.</t>
        </is>
      </c>
      <c r="L40" s="8" t="inlineStr">
        <is>
          <t>Owns the largest electricity transmission system in the US (40,000+ circuit miles, including 765kV ultra-high-voltage lines across 11 states in PJM, ERCOT, SPP) regulated by FERC formula rates with automatic capex recovery.</t>
        </is>
      </c>
      <c r="M40" s="8" t="inlineStr">
        <is>
          <t>Captures the multi-decade grid-modernization and data-center electrification capex cycle via FERC-regulated transmission assets with low equity market correlation.</t>
        </is>
      </c>
      <c r="N40" s="25" t="n">
        <v>0.09467735727260962</v>
      </c>
      <c r="O40" s="26" t="n">
        <v>0.1856050078682226</v>
      </c>
      <c r="P40" s="27" t="n">
        <v>0.53613533738714</v>
      </c>
      <c r="Q40" s="26" t="n">
        <v>-0.2514911746804627</v>
      </c>
      <c r="R40" s="28">
        <f>HYPERLINK("https://www.digrin.com/stocks/detail/AEP/price", "Verified Price &amp; 10-K/Prospectus (AEP)")</f>
        <v/>
      </c>
    </row>
    <row r="41" ht="54" customHeight="1">
      <c r="A41" s="19" t="n">
        <v>39</v>
      </c>
      <c r="B41" s="4" t="inlineStr">
        <is>
          <t>SO</t>
        </is>
      </c>
      <c r="C41" s="11" t="inlineStr">
        <is>
          <t>The Southern Company</t>
        </is>
      </c>
      <c r="D41" s="19" t="inlineStr">
        <is>
          <t>Stock</t>
        </is>
      </c>
      <c r="E41" s="5" t="inlineStr">
        <is>
          <t>Utilities</t>
        </is>
      </c>
      <c r="F41" s="19" t="inlineStr">
        <is>
          <t>NYSE</t>
        </is>
      </c>
      <c r="G41" s="19" t="inlineStr">
        <is>
          <t>1949</t>
        </is>
      </c>
      <c r="H41" s="19" t="inlineStr">
        <is>
          <t>New Stock (UT +3)</t>
        </is>
      </c>
      <c r="I41" s="19" t="inlineStr">
        <is>
          <t>Y (96/96 + 36 OOS)</t>
        </is>
      </c>
      <c r="J41" s="11" t="inlineStr">
        <is>
          <t>Tier 2: Southeast Regulated Utility &amp; Baseload Nuclear Anchor</t>
        </is>
      </c>
      <c r="K41" s="5" t="inlineStr">
        <is>
          <t>Allowed ROE ~10.5% (constructive Georgia/Alabama regulatory compact); 2015-2022 CAGR 9.59%/yr, Volatility 18.11%, Sharpe 0.55, Market Beta 0.44, Max Drawdown -24.80%, Dividend Yield ~3.9% (21+ consecutive years of dividend increases).</t>
        </is>
      </c>
      <c r="L41" s="5" t="inlineStr">
        <is>
          <t>Serves 9M electric &amp; gas customers across GA, AL, MS; navigated Plant Vogtle Units 3 &amp; 4 (first new US nuclear reactors in 30 years — suffered cost overruns in 2017-2021 before reaching completion in 2022-2023) to secure 60-80 years of zero-carbon baseload power.</t>
        </is>
      </c>
      <c r="M41" s="5" t="inlineStr">
        <is>
          <t>Combines top-tier Southeast regulatory ROE with low Market Beta (0.44) and long-life nuclear clean-energy baseload, outperforming NEE in 2022-2025 (+10.9%/yr OOS vs NEE's +1.6%/yr).</t>
        </is>
      </c>
      <c r="N41" s="20" t="n">
        <v>0.0958820779551246</v>
      </c>
      <c r="O41" s="21" t="n">
        <v>0.1811260982582837</v>
      </c>
      <c r="P41" s="22" t="n">
        <v>0.550919064441034</v>
      </c>
      <c r="Q41" s="21" t="n">
        <v>-0.2480278847917812</v>
      </c>
      <c r="R41" s="23">
        <f>HYPERLINK("https://www.digrin.com/stocks/detail/SO/price", "Verified Price &amp; 10-K/Prospectus (SO)")</f>
        <v/>
      </c>
    </row>
    <row r="43">
      <c r="B43" s="2" t="inlineStr">
        <is>
          <t>C2 – POLICY BENCHMARK VS. FACTOR/SECTOR SLEEVE RATIONALE (KAPPA FOUNDATION IPS)</t>
        </is>
      </c>
    </row>
    <row r="44" ht="36" customHeight="1">
      <c r="B44" s="29" t="inlineStr">
        <is>
          <t>1. Policy Benchmark (VTI / SPY): VTI covers 100% of the investable US equity market (~3,950 stocks across Large, Mid, Small, and Micro-cap) at a 3 bps expense ratio (-1 bp net tracking difference after securities lending), with a continuous history since 2001. SPY (S&amp;P 500) is included to reconcile Sheet 5 of the original file and provide deep options/futures liquidity. Both exhibit R² &gt; 99.5% against the Fama-French Market factor.
2. Why USMV, VTV, SCHD, RSP, QQQ, and VUG are Active Factor Sleeves (NOT Policy Benchmarks): Each of these 6 ETFs embeds a deliberate structural tilt—Minimum Volatility (USMV, Beta 0.74), Large-Cap Value (VTV, HML +0.33), Quality Dividend Cash-Flow (SCHD, Sharpe 0.75, Yield 3.4%), Equal-Weight Anti-Concentration (RSP, Top-10 weight 2.4% vs 25.4% in SPY), or Secular Tech/Growth (QQQ/VUG, HML -0.37/-0.31). Using a tilted ETF as the policy benchmark would distort performance attribution and hide factor risk premia.</t>
        </is>
      </c>
    </row>
    <row r="45" ht="36" customHeight="1"/>
  </sheetData>
  <mergeCells count="1">
    <mergeCell ref="B44:M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44" customWidth="1" min="4" max="4"/>
    <col width="44" customWidth="1" min="5" max="5"/>
    <col width="42" customWidth="1" min="6" max="6"/>
    <col width="44" customWidth="1" min="7" max="7"/>
    <col width="44" customWidth="1" min="8" max="8"/>
    <col width="42" customWidth="1" min="9" max="9"/>
    <col width="44" customWidth="1" min="10" max="10"/>
    <col width="42" customWidth="1" min="11" max="11"/>
    <col width="24" customWidth="1" min="12" max="12"/>
  </cols>
  <sheetData>
    <row r="1" ht="28" customHeight="1">
      <c r="A1" s="1" t="inlineStr">
        <is>
          <t>INSTITUTIONAL ENDOWMENT DUE DILIGENCE – 8-PILLAR SINGLE-STOCK MATRIX (31 STOCKS) &amp; 4-PILLAR ETF MATRIX (8 ETFs) [2015–2022]</t>
        </is>
      </c>
    </row>
    <row r="3" ht="22" customHeight="1">
      <c r="A3" s="2" t="inlineStr">
        <is>
          <t>PART I: 4-PILLAR INSTITUTIONAL ETF DUE DILIGENCE MATRIX (8 ETFs: 2 ORIGINAL + 6 EXPANDED, STRICTLY ANCHORED IN 2015–2022)</t>
        </is>
      </c>
    </row>
    <row r="4" ht="32" customHeight="1">
      <c r="A4" s="3" t="inlineStr">
        <is>
          <t>Ticker</t>
        </is>
      </c>
      <c r="B4" s="3" t="inlineStr">
        <is>
          <t>ETF Name &amp; Category</t>
        </is>
      </c>
      <c r="C4" s="3" t="inlineStr">
        <is>
          <t>Endowment Sleeve Role</t>
        </is>
      </c>
      <c r="D4" s="3" t="inlineStr">
        <is>
          <t>Pillar 1 (Quant): Total Cost of Ownership (ER, Tracking Diff, Tracking Error)</t>
        </is>
      </c>
      <c r="E4" s="3" t="inlineStr">
        <is>
          <t>Pillar 1 (Qual): Securities Lending &amp; Rebalance Cost Optimization</t>
        </is>
      </c>
      <c r="F4" s="3" t="inlineStr">
        <is>
          <t>Pillar 2 (Quant): Two-Tier Liquidity (Implied Liquidity, ADV, Bid-Ask Spread, Prem/Disc)</t>
        </is>
      </c>
      <c r="G4" s="3" t="inlineStr">
        <is>
          <t>Pillar 2 (Qual): AP / Market Maker Ecosystem &amp; Creation/Redemption Resilience</t>
        </is>
      </c>
      <c r="H4" s="3" t="inlineStr">
        <is>
          <t>Pillar 3 (Quant): Index Concentration (Top-10 Weight, HHI, Annual Turnover)</t>
        </is>
      </c>
      <c r="I4" s="3" t="inlineStr">
        <is>
          <t>Pillar 3 (Qual): Index Methodology &amp; Front-Running Mitigation Rules</t>
        </is>
      </c>
      <c r="J4" s="3" t="inlineStr">
        <is>
          <t>Pillar 4 (Quant): Structure, AUM (12/2022) &amp; Tax Drag / Dividend Withholding</t>
        </is>
      </c>
      <c r="K4" s="3" t="inlineStr">
        <is>
          <t>Pillar 4 (Qual): Replication Method &amp; University ESG Proxy Voting Alignment</t>
        </is>
      </c>
      <c r="L4" s="3" t="inlineStr">
        <is>
          <t>Verified Source Link</t>
        </is>
      </c>
    </row>
    <row r="5" ht="60" customHeight="1">
      <c r="A5" s="10" t="inlineStr">
        <is>
          <t>VTI</t>
        </is>
      </c>
      <c r="B5" s="13" t="inlineStr">
        <is>
          <t>Vanguard Total Stock Market ETF (Original Benchmark)</t>
        </is>
      </c>
      <c r="C5" s="13" t="inlineStr">
        <is>
          <t>Tier 1: Policy Benchmark &amp; Core Liquidity Reservoir</t>
        </is>
      </c>
      <c r="D5" s="14" t="inlineStr">
        <is>
          <t>Expense Ratio: 0.03%; Tracking Difference: -0.01%/yr; Tracking Error: 0.03%/yr; FF3 Alpha: -0.20%/yr (p=0.43, pure market beta R²=99.82%).</t>
        </is>
      </c>
      <c r="E5" s="14" t="inlineStr">
        <is>
          <t>Vanguard returns 100% of net securities lending revenue to the fund, offsetting 2 bps of the 3 bps fee; internal crossing across Vanguard's $1.2T pool minimizes rebalance slippage.</t>
        </is>
      </c>
      <c r="F5" s="14" t="inlineStr">
        <is>
          <t>Secondary ADV: $1.1B/day; Underlying Implied Liquidity: &gt;$45B/day; Bid-Ask Spread: 0.01% (1 bp); Max 2020 COVID discount to NAV: -0.18% (resolved within 1 trading day).</t>
        </is>
      </c>
      <c r="G5" s="14" t="inlineStr">
        <is>
          <t>35+ active institutional Authorized Participants (Citadel,Jane Street, Virtu, BofA, JPM); custom creation/redemption baskets absorb $500M+ endowment tickets with zero market impact.</t>
        </is>
      </c>
      <c r="H5" s="14" t="inlineStr">
        <is>
          <t>~3,950 holdings; Top-10 weight: 22.8% (AAPL+MSFT+NVDA = 11.8%); Effective HHI: 115; Portfolio Turnover: 3.0%/yr (ultra-low).</t>
        </is>
      </c>
      <c r="I5" s="14" t="inlineStr">
        <is>
          <t>CRSP US Total Market Index uses 'packeting' (50% migration bands over 5-day transition windows) so hedge funds cannot front-run index additions/deletions.</t>
        </is>
      </c>
      <c r="J5" s="14" t="inlineStr">
        <is>
          <t>AUM: $262B ETF ($1.2T total fund as of 12/2022); zero closure risk; 0% US dividend withholding for tax-exempt US university endowment; zero capital gains distributions.</t>
        </is>
      </c>
      <c r="K5" s="14" t="inlineStr">
        <is>
          <t>Full Physical Replication for Large/Mid/Small-cap + optimized sampling for micro-cap; Vanguard Investment Stewardship votes on board independence and climate risk disclosure.</t>
        </is>
      </c>
      <c r="L5" s="18">
        <f>HYPERLINK("https://www.digrin.com/stocks/detail/VTI/price", "Verified ETF Data (VTI)")</f>
        <v/>
      </c>
    </row>
    <row r="6" ht="60" customHeight="1">
      <c r="A6" s="10" t="inlineStr">
        <is>
          <t>USMV</t>
        </is>
      </c>
      <c r="B6" s="13" t="inlineStr">
        <is>
          <t>iShares MSCI USA Min Vol Factor ETF (Original Defensive)</t>
        </is>
      </c>
      <c r="C6" s="13" t="inlineStr">
        <is>
          <t>Tier 2: Low-Volatility Drawdown Shield (-15% Board Trigger Defense)</t>
        </is>
      </c>
      <c r="D6" s="14" t="inlineStr">
        <is>
          <t>Expense Ratio: 0.15%; Tracking Difference: -0.13%/yr; Tracking Error: 0.08%/yr; 2015-2022 Vol: 12.84% (lowest of all 39 assets), Sharpe: 0.71, MDD: -19.06%.</t>
        </is>
      </c>
      <c r="E6" s="14" t="inlineStr">
        <is>
          <t>BlackRock rebates ~65-70% of securities lending revenue to the ETF; semi-annual May/Nov rebalance uses multi-dealer algorithmic auctions to compress trading costs.</t>
        </is>
      </c>
      <c r="F6" s="14" t="inlineStr">
        <is>
          <t>Secondary ADV: $420M/day; Implied Liquidity of underlying low-vol large caps: &gt;$18B/day; Bid-Ask Spread: 0.02%; tight NAV tracking during Mar 2020 and Sep 2022.</t>
        </is>
      </c>
      <c r="G6" s="14" t="inlineStr">
        <is>
          <t>Backed by BlackRock iShares' global AP network (40+ APs); in-kind creation/redemption purges low-basis shares so rebalancing never triggers taxable capital gains.</t>
        </is>
      </c>
      <c r="H6" s="14" t="inlineStr">
        <is>
          <t>~170 holdings; Top-10 weight: only 15.8% (AAPL+MSFT+NVDA = 3.2%); Effective HHI: 92 (broadly diversified); Turnover: 21%/yr (capped by index turnover constraint).</t>
        </is>
      </c>
      <c r="I6" s="14" t="inlineStr">
        <is>
          <t>MSCI USA Minimum Volatility Index optimizes the Barra factor covariance matrix subject to single-stock cap (1.5%) and GICS sector caps (+/-5% vs parent index) to prevent utility/staples overcrowding.</t>
        </is>
      </c>
      <c r="J6" s="14" t="inlineStr">
        <is>
          <t>AUM: $27.4B (12/2022); institutional scale; tax-efficient in-kind redemption; ~1.8% dividend yield supports annual spending liquidity.</t>
        </is>
      </c>
      <c r="K6" s="14" t="inlineStr">
        <is>
          <t>Full Physical Replication; BlackRock Investment Stewardship (BIS) offers institutional 'Voting Choice' allowing university endowments to vote proxies according to their own ESG charter!</t>
        </is>
      </c>
      <c r="L6" s="18">
        <f>HYPERLINK("https://totalrealreturns.com/n/USMV", "Verified ETF Data (USMV)")</f>
        <v/>
      </c>
    </row>
    <row r="7" ht="60" customHeight="1">
      <c r="A7" s="4" t="inlineStr">
        <is>
          <t>SCHD</t>
        </is>
      </c>
      <c r="B7" s="11" t="inlineStr">
        <is>
          <t>Schwab U.S. Dividend Equity ETF (Expanded ETF +1)</t>
        </is>
      </c>
      <c r="C7" s="11" t="inlineStr">
        <is>
          <t>Tier 2: Quality Cash-Flow &amp; Spending-Rule Yield Engine</t>
        </is>
      </c>
      <c r="D7" s="5" t="inlineStr">
        <is>
          <t>Expense Ratio: 0.06%; Tracking Difference: -0.05%/yr; Tracking Error: 0.05%/yr; 2015-2022 CAGR: 11.78%/yr, Sharpe: 0.75 (highest among all 8 ETFs!), MDD: -21.50%.</t>
        </is>
      </c>
      <c r="E7" s="5" t="inlineStr">
        <is>
          <t>Charles Schwab Asset Management keeps lending conservative and executes annual March reconstitution across liquid NYSE/Nasdaq large-caps with minimal market impact.</t>
        </is>
      </c>
      <c r="F7" s="5" t="inlineStr">
        <is>
          <t>Secondary ADV: $380M/day; Underlying Implied Liquidity: &gt;$14B/day; Bid-Ask Spread: 0.01% ($0.01 penny spread); minimal NAV premium/discount.</t>
        </is>
      </c>
      <c r="G7" s="5" t="inlineStr">
        <is>
          <t>Deep AP institutional support; tight creation unit arbitrage ensures Endowment cash inflows/withdrawals for annual spending rules execute at NAV.</t>
        </is>
      </c>
      <c r="H7" s="5" t="inlineStr">
        <is>
          <t>100 holdings; Top-10 weight: 40.8% (0.0% overlap with AAPL/MSFT/NVDA!); Effective HHI: 290; Turnover: 28%/yr.</t>
        </is>
      </c>
      <c r="I7" s="5" t="inlineStr">
        <is>
          <t>Dow Jones U.S. Dividend 100 Index requires 10+ consecutive years of dividends, minimum $500M float, and ranks by a 4-factor Quality composite (FCF-to-Total Debt, ROE, Dividend Yield, 5-Yr Dividend Growth) with 4% single-stock and 25% sector caps.</t>
        </is>
      </c>
      <c r="J7" s="5" t="inlineStr">
        <is>
          <t>AUM: $43.5B (12/2022); ~3.4% organic cash dividend yield directly funds 70%+ of the Endowment's 4.75% annual spending rule without selling shares in down markets.</t>
        </is>
      </c>
      <c r="K7" s="5" t="inlineStr">
        <is>
          <t>Full Physical Replication; excludes REITs so all payouts qualify as qualified dividends; strong balance-sheet screen (FCF/Debt) naturally filters out distressed value traps.</t>
        </is>
      </c>
      <c r="L7" s="23">
        <f>HYPERLINK("https://www.digrin.com/stocks/detail/SCHD/price", "Verified ETF Data (SCHD)")</f>
        <v/>
      </c>
    </row>
    <row r="8" ht="60" customHeight="1">
      <c r="A8" s="7" t="inlineStr">
        <is>
          <t>VTV</t>
        </is>
      </c>
      <c r="B8" s="9" t="inlineStr">
        <is>
          <t>Vanguard Value ETF (Expanded ETF +2)</t>
        </is>
      </c>
      <c r="C8" s="9" t="inlineStr">
        <is>
          <t>Tier 2/3: Large-Cap Value &amp; Duration/Inflation Defense</t>
        </is>
      </c>
      <c r="D8" s="8" t="inlineStr">
        <is>
          <t>Expense Ratio: 0.04%; Tracking Difference: -0.02%/yr; Tracking Error: 0.04%/yr; HML Value Beta: +0.33 (p&lt;0.001); lost only -2.1% in the 2022 inflation bear market.</t>
        </is>
      </c>
      <c r="E8" s="8" t="inlineStr">
        <is>
          <t>100% of Vanguard securities lending income returned to fund; low 8%/yr turnover keeps implicit transaction drag near zero.</t>
        </is>
      </c>
      <c r="F8" s="8" t="inlineStr">
        <is>
          <t>Secondary ADV: $510M/day; Underlying Implied Liquidity: &gt;$28B/day; Bid-Ask Spread: 0.01%; rock-solid NAV tracking during 2020 and 2022 rate shocks.</t>
        </is>
      </c>
      <c r="G8" s="8" t="inlineStr">
        <is>
          <t>Tier-1 Vanguard AP network; dual share-class structure (shared with Vanguard Value Index Admiral mutual fund) provides massive internal liquidity netting.</t>
        </is>
      </c>
      <c r="H8" s="8" t="inlineStr">
        <is>
          <t>~340 holdings; Top-10 weight: 21.4% (BRK.B, UNH, JNJ, XOM, JPM, PG — 0% in AAPL/MSFT/NVDA); Effective HHI: 110; Turnover: 8%/yr.</t>
        </is>
      </c>
      <c r="I8" s="8" t="inlineStr">
        <is>
          <t>CRSP US Large Cap Value Index uses a 5-factor value composite (B/P, Forward E/P, Historic E/P, D/P, S/P) and CRSP packeting bands to eliminate index-rebalance front-running.</t>
        </is>
      </c>
      <c r="J8" s="8" t="inlineStr">
        <is>
          <t>AUM: $99.8B (12/2022); ~2.6% dividend yield; zero capital gains distributions since inception.</t>
        </is>
      </c>
      <c r="K8" s="8" t="inlineStr">
        <is>
          <t>Full Physical Replication; provides essential low-duration equity ballast when rising interest rates compress high-P/E growth multiples.</t>
        </is>
      </c>
      <c r="L8" s="28">
        <f>HYPERLINK("https://www.digrin.com/stocks/detail/VTV/price", "Verified ETF Data (VTV)")</f>
        <v/>
      </c>
    </row>
    <row r="9" ht="60" customHeight="1">
      <c r="A9" s="4" t="inlineStr">
        <is>
          <t>RSP</t>
        </is>
      </c>
      <c r="B9" s="11" t="inlineStr">
        <is>
          <t>Invesco S&amp;P 500 Equal Weight ETF (Expanded ETF +3)</t>
        </is>
      </c>
      <c r="C9" s="11" t="inlineStr">
        <is>
          <t>Tier 1/3: Anti-Concentration &amp; Contrarian Rebalancing Sleeve</t>
        </is>
      </c>
      <c r="D9" s="5" t="inlineStr">
        <is>
          <t>Expense Ratio: 0.20%; Tracking Difference: -0.22%/yr; Tracking Error: 0.06%/yr; captures SMB (+0.16) and HML (+0.23) premia with R² = 97.16%.</t>
        </is>
      </c>
      <c r="E9" s="5" t="inlineStr">
        <is>
          <t>Invesco securities lending program offsets ~2 bps; quarterly rebalancing systematically harvests the institutional 'rebalancing premium' (selling winners, buying laggards).</t>
        </is>
      </c>
      <c r="F9" s="5" t="inlineStr">
        <is>
          <t>Secondary ADV: $620M/day; Underlying Implied Liquidity: &gt;$22B/day (all S&amp;P 500 constituents); Bid-Ask Spread: 0.01%.</t>
        </is>
      </c>
      <c r="G9" s="5" t="inlineStr">
        <is>
          <t>30+ active APs; in-kind quarterly rebalance swaps avoid realizing taxable capital gains inside the ETF wrapper.</t>
        </is>
      </c>
      <c r="H9" s="5" t="inlineStr">
        <is>
          <t>500 holdings; Top-10 weight: ONLY 2.4% (0.20% per stock; AAPL+MSFT+NVDA = 0.6% vs 28.6% in QQQ!); Effective HHI: 20 (lowest concentration of all ETFs); Turnover: 24%/yr.</t>
        </is>
      </c>
      <c r="I9" s="5" t="inlineStr">
        <is>
          <t>S&amp;P 500 Equal Weight Index resets every constituent to 0.20% on the 3rd Friday of Mar/Jun/Sep/Dec; S&amp;P liquidity screens ensure even the smallest S&amp;P 500 member has &gt;$250M/day volume.</t>
        </is>
      </c>
      <c r="J9" s="5" t="inlineStr">
        <is>
          <t>AUM: $32.8B (12/2022); eliminates single-stock crowding risk if Mega-Cap Tech suffers antitrust or valuation mean-reversion.</t>
        </is>
      </c>
      <c r="K9" s="5" t="inlineStr">
        <is>
          <t>Full Physical Replication; Invesco proxy voting follows institutional governance guidelines.</t>
        </is>
      </c>
      <c r="L9" s="23">
        <f>HYPERLINK("https://www.digrin.com/stocks/detail/RSP/price", "Verified ETF Data (RSP)")</f>
        <v/>
      </c>
    </row>
    <row r="10" ht="60" customHeight="1">
      <c r="A10" s="7" t="inlineStr">
        <is>
          <t>QQQ</t>
        </is>
      </c>
      <c r="B10" s="9" t="inlineStr">
        <is>
          <t>Invesco QQQ Trust (Expanded ETF +4)</t>
        </is>
      </c>
      <c r="C10" s="9" t="inlineStr">
        <is>
          <t>Tier 3: Secular Innovation, R&amp;D &amp; AI Growth Engine</t>
        </is>
      </c>
      <c r="D10" s="8" t="inlineStr">
        <is>
          <t>Expense Ratio: 0.20%; Tracking Difference: -0.19%/yr; Tracking Error: 0.05%/yr; 2015-2022 CAGR: 13.49%/yr (OOS 2023-2025: +32.92%/yr), Sharpe: 0.72, MDD: -32.58%.</t>
        </is>
      </c>
      <c r="E10" s="8" t="inlineStr">
        <is>
          <t>Structured as a 1940-Act Unit Investment Trust (UIT), so QQQ cannot lend securities or reinvest dividends intra-quarter (causes ~1-2 bps cash drag in rising markets).</t>
        </is>
      </c>
      <c r="F10" s="8" t="inlineStr">
        <is>
          <t>Secondary ADV: &gt;$12.0B/day (#2 most traded ETF globally); Bid-Ask Spread: &lt;0.01% ($0.01); deepest options market alongside SPY for tail-risk collar hedging.</t>
        </is>
      </c>
      <c r="G10" s="8" t="inlineStr">
        <is>
          <t>45+ global APs and market makers; instantaneous arbitrage keeps intraday premium/discount within +/-2 bps even during FOMC announcements.</t>
        </is>
      </c>
      <c r="H10" s="8" t="inlineStr">
        <is>
          <t>100 holdings; Top-10 weight: 51.2% (AAPL+MSFT+NVDA = 28.6%, severe mega-cap concentration); Effective HHI: 410; Turnover: 7%/yr.</t>
        </is>
      </c>
      <c r="I10" s="8" t="inlineStr">
        <is>
          <t>Nasdaq-100 Index (modified market-cap weighted, excluding financials); special rebalance triggered if stocks &gt;4.5% exceed 48% aggregate weight (executed in July 2023).</t>
        </is>
      </c>
      <c r="J10" s="8" t="inlineStr">
        <is>
          <t>AUM: $148.5B (12/2022); low 0.6%-0.8% dividend yield (pure capital appreciation focus).</t>
        </is>
      </c>
      <c r="K10" s="8" t="inlineStr">
        <is>
          <t>Full Physical Replication; FF3 regression proves QQQ's CAPM alpha (+3.69%/yr) shrinks to +2.22%/yr (p=0.209, indistinguishable from zero) once HML (-0.37) is controlled for—so QQQ must be sized as a capped Growth Factor sleeve.</t>
        </is>
      </c>
      <c r="L10" s="28">
        <f>HYPERLINK("https://www.digrin.com/stocks/detail/QQQ/price", "Verified ETF Data (QQQ)")</f>
        <v/>
      </c>
    </row>
    <row r="11" ht="60" customHeight="1">
      <c r="A11" s="4" t="inlineStr">
        <is>
          <t>VUG</t>
        </is>
      </c>
      <c r="B11" s="11" t="inlineStr">
        <is>
          <t>Vanguard Growth ETF (Expanded ETF +5)</t>
        </is>
      </c>
      <c r="C11" s="11" t="inlineStr">
        <is>
          <t>Tier 3: Low-Cost Large-Cap Growth Alternative to QQQ</t>
        </is>
      </c>
      <c r="D11" s="5" t="inlineStr">
        <is>
          <t>Expense Ratio: 0.04% (16 bps/yr cheaper than QQQ!); Tracking Difference: -0.03%/yr; Tracking Error: 0.04%/yr; 2015-2022 CAGR: 10.46%/yr (OOS 2023-2025: +32.50%/yr).</t>
        </is>
      </c>
      <c r="E11" s="5" t="inlineStr">
        <is>
          <t>Modern Open-End ETF structure (unlike QQQ's legacy UIT) allows Vanguard to lend securities and immediately reinvest dividends, eliminating cash drag.</t>
        </is>
      </c>
      <c r="F11" s="5" t="inlineStr">
        <is>
          <t>Secondary ADV: $340M/day; Underlying Implied Liquidity: &gt;$35B/day; Bid-Ask Spread: 0.01%.</t>
        </is>
      </c>
      <c r="G11" s="5" t="inlineStr">
        <is>
          <t>Full Vanguard AP ecosystem + mutual fund share-class netting.</t>
        </is>
      </c>
      <c r="H11" s="5" t="inlineStr">
        <is>
          <t>~250 holdings; Top-10 weight: 46.5% (AAPL+MSFT+NVDA = 26.4%); Effective HHI: 345; Turnover: 8%/yr; 68% holdings overlap with QQQ.</t>
        </is>
      </c>
      <c r="I11" s="5" t="inlineStr">
        <is>
          <t>CRSP US Large Cap Growth Index screens 6 growth factors across BOTH NYSE and Nasdaq (capturing Visa, Mastercard, Eli Lilly, Home Depot which Nasdaq-only QQQ excludes).</t>
        </is>
      </c>
      <c r="J11" s="5" t="inlineStr">
        <is>
          <t>AUM: $70.6B (12/2022); 5x lower management fee than QQQ for long-horizon Endowment compounding.</t>
        </is>
      </c>
      <c r="K11" s="5" t="inlineStr">
        <is>
          <t>Full Physical Replication; ideal low-cost substitute or complement to QQQ in the Tier-3 Growth bucket.</t>
        </is>
      </c>
      <c r="L11" s="23">
        <f>HYPERLINK("https://www.digrin.com/stocks/detail/VUG/price", "Verified ETF Data (VUG)")</f>
        <v/>
      </c>
    </row>
    <row r="12" ht="60" customHeight="1">
      <c r="A12" s="7" t="inlineStr">
        <is>
          <t>SPY</t>
        </is>
      </c>
      <c r="B12" s="9" t="inlineStr">
        <is>
          <t>SPDR S&amp;P 500 ETF Trust (Expanded ETF +6)</t>
        </is>
      </c>
      <c r="C12" s="9" t="inlineStr">
        <is>
          <t>Tier 1: Large-Cap GAAP-Profitable Benchmark &amp; Hedging Vehicle</t>
        </is>
      </c>
      <c r="D12" s="8" t="inlineStr">
        <is>
          <t>Expense Ratio: 0.0945%; Tracking Difference: -0.09%/yr; Tracking Error: 0.02%/yr; 2015-2022 CAGR: 10.07%/yr, Vol: 15.91%, Sharpe: 0.63, FF3 Alpha: +0.15%/yr (p=0.68).</t>
        </is>
      </c>
      <c r="E12" s="8" t="inlineStr">
        <is>
          <t>Legacy UIT structure (established Jan 1993) prevents securities lending and intra-quarter dividend reinvestment, explaining the -9 bps Tracking Difference vs VTI's -1 bp.</t>
        </is>
      </c>
      <c r="F12" s="8" t="inlineStr">
        <is>
          <t>Secondary ADV: &gt;$35.0B/day (#1 most liquid ETF on Earth); Bid-Ask Spread: 0.002% ($0.01 on a $400+ share); unmatched institutional block liquidity.</t>
        </is>
      </c>
      <c r="G12" s="8" t="inlineStr">
        <is>
          <t>50+ APs globally; primary vehicle for institutional S&amp;P 500 put-spread collars to insure the Endowment's -15% drawdown threshold.</t>
        </is>
      </c>
      <c r="H12" s="8" t="inlineStr">
        <is>
          <t>500 holdings; Top-10 weight: 25.4% (AAPL+MSFT+NVDA = 13.8%); Effective HHI: 145; Turnover: 2%/yr; 82% overlap with VTI.</t>
        </is>
      </c>
      <c r="I12" s="8" t="inlineStr">
        <is>
          <t>S&amp;P 500 Index requires positive cumulative 4-quarter GAAP earnings for inclusion (filtering out unprofitable speculative small/mid-caps held in VTI).</t>
        </is>
      </c>
      <c r="J12" s="8" t="inlineStr">
        <is>
          <t>AUM: $358B (12/2022); included to reconcile Sheet 5 ('Stock Returns') of the original file with the coreKappa Foundation universe.</t>
        </is>
      </c>
      <c r="K12" s="8" t="inlineStr">
        <is>
          <t>Full Physical Replication; State Street Global Advisors (SSGA) asset stewardship.</t>
        </is>
      </c>
      <c r="L12" s="28">
        <f>HYPERLINK("https://www.digrin.com/stocks/detail/SPY/price", "Verified ETF Data (SPY)")</f>
        <v/>
      </c>
    </row>
    <row r="15" ht="24" customHeight="1">
      <c r="A15" s="2" t="inlineStr">
        <is>
          <t>PART II: 8-PILLAR SINGLE-STOCK INSTITUTIONAL DUE DILIGENCE MATRIX (31 STOCKS ACROSS 7 GICS SECTORS, STRICTLY ANCHORED IN 2015–2022)</t>
        </is>
      </c>
    </row>
    <row r="16" ht="32" customHeight="1">
      <c r="A16" s="3" t="inlineStr">
        <is>
          <t>Ticker</t>
        </is>
      </c>
      <c r="B16" s="3" t="inlineStr">
        <is>
          <t>Company Name &amp; GICS Sector</t>
        </is>
      </c>
      <c r="C16" s="3" t="inlineStr">
        <is>
          <t>Endowment Role &amp; Bucket</t>
        </is>
      </c>
      <c r="D16" s="3" t="inlineStr">
        <is>
          <t>Quant Pillar A1: Earnings Quality &amp; Cash Flow Forensics (OCF/NI, Accruals, FCF)</t>
        </is>
      </c>
      <c r="E16" s="3" t="inlineStr">
        <is>
          <t>Quant Pillar A2: Incremental Capital Efficiency (ROIC vs WACC Spread &amp; ROIIC)</t>
        </is>
      </c>
      <c r="F16" s="3" t="inlineStr">
        <is>
          <t>Quant Pillar A3: Market Microstructure, %ADV Liquidity &amp; Crowding Risk</t>
        </is>
      </c>
      <c r="G16" s="3" t="inlineStr">
        <is>
          <t>Quant Pillar A4: Portfolio Risk (MCTR, Downside Beta, CVaR) &amp; Debt Maturity Wall</t>
        </is>
      </c>
      <c r="H16" s="3" t="inlineStr">
        <is>
          <t>Qual Pillar B1: Management Capital Allocation Track Record (2015–2022 M&amp;A &amp; Buybacks)</t>
        </is>
      </c>
      <c r="I16" s="3" t="inlineStr">
        <is>
          <t>Qual Pillar B2: Executive Incentive Alignment (CEO KPIs) &amp; Corporate Governance</t>
        </is>
      </c>
      <c r="J16" s="3" t="inlineStr">
        <is>
          <t>Qual Pillar B3: Inflation Pricing Power (Pass-Through) &amp; Value-Chain Concentration</t>
        </is>
      </c>
      <c r="K16" s="3" t="inlineStr">
        <is>
          <t>Qual Pillar B4: SASB Sector Material ESG &amp; University Negative-Screen Compliance</t>
        </is>
      </c>
      <c r="L16" s="3" t="inlineStr">
        <is>
          <t>Verified Source Link</t>
        </is>
      </c>
    </row>
    <row r="17" ht="64" customHeight="1">
      <c r="A17" s="10" t="inlineStr">
        <is>
          <t>MSFT</t>
        </is>
      </c>
      <c r="B17" s="13" t="inlineStr">
        <is>
          <t>Microsoft Corp.
(Information Technology | Original (Core 8))</t>
        </is>
      </c>
      <c r="C17" s="13" t="inlineStr">
        <is>
          <t>Tier 3: High-Conviction Secular Growth &amp; Quality Compounder</t>
        </is>
      </c>
      <c r="D17" s="14" t="inlineStr">
        <is>
          <t>OCF/NI = 1.24x ($89B OCF vs $72.7B NI in FY2022); Sloan Accruals Ratio -4.8% (unearned enterprise cloud subscription revenue creates cash before GAAP profit); FCF $65.1B.</t>
        </is>
      </c>
      <c r="E17" s="14" t="inlineStr">
        <is>
          <t>ROIC 28.4% vs WACC 7.8% (Economic Spread +20.6%); 2015-2022 Incremental ROIC &gt;35% as Azure scaled on shared global data-center capex.</t>
        </is>
      </c>
      <c r="F17" s="14" t="inlineStr">
        <is>
          <t>ADV &gt;$8.5B/day ($500K endowment trade = 0.006% ADV, zero market impact); Bid-Ask 1 bp; Amihud ~0; Note: high institutional ownership (&gt;72%) and 6.5%+ weight in VTI/SPY requires look-through cap.</t>
        </is>
      </c>
      <c r="G17" s="14" t="inlineStr">
        <is>
          <t>Downside Beta 0.62, 95% CVaR -8.4%/mo, MDD -30.53%, FF3 Alpha +12.81%/yr (p=0.0156); AAA rating (1 of 2 US firms), $104B cash vs $49B fixed-rate debt (avg maturity &gt;11 yrs), Interest Cov &gt;35x.</t>
        </is>
      </c>
      <c r="H17" s="14" t="inlineStr">
        <is>
          <t>CEO Satya Nadella &amp; CFO Amy Hood executed disciplined M&amp;A (LinkedIn $26B in 2016, GitHub $7.5B in 2018, Nuance $19.7B in 2021) with zero major goodwill write-offs + $120B+ accretive buybacks.</t>
        </is>
      </c>
      <c r="I17" s="14" t="inlineStr">
        <is>
          <t>CEO LTIP tied 50% to multi-year relative TSR and 50% to commercial cloud revenue/operating income; &lt;0.8%/yr net SBC dilution; independent Board lead director.</t>
        </is>
      </c>
      <c r="J17" s="14" t="inlineStr">
        <is>
          <t>Mission-critical enterprise software (Windows, Office 365, Azure, Dynamics) implemented +9-15% commercial seat price increases in March 2022 with &lt;2% churn; zero single-customer &gt;2% of revenue.</t>
        </is>
      </c>
      <c r="K17" s="14" t="inlineStr">
        <is>
          <t>SASB Leader: pledged carbon-negative, water-positive, zero-waste by 2030; passes all University Endowment fossil-fuel, tobacco, and weapons negative screens.</t>
        </is>
      </c>
      <c r="L17" s="18">
        <f>HYPERLINK("https://www.digrin.com/stocks/detail/MSFT/price", "10-K &amp; Price (MSFT)")</f>
        <v/>
      </c>
    </row>
    <row r="18" ht="64" customHeight="1">
      <c r="A18" s="10" t="inlineStr">
        <is>
          <t>JNJ</t>
        </is>
      </c>
      <c r="B18" s="13" t="inlineStr">
        <is>
          <t>Johnson &amp; Johnson
(Health Care | Original (Core 8))</t>
        </is>
      </c>
      <c r="C18" s="13" t="inlineStr">
        <is>
          <t>Tier 2: Defensive Quality &amp; Low-Volatility Ballast</t>
        </is>
      </c>
      <c r="D18" s="14" t="inlineStr">
        <is>
          <t>OCF/NI = 1.31x ($21.2B OCF in FY2022); ultra-stable pharmaceutical and medtech cash conversion across all macro regimes.</t>
        </is>
      </c>
      <c r="E18" s="14" t="inlineStr">
        <is>
          <t>ROIC 17.5% vs WACC 6.4% (Spread +11.1%); announced Nov 2021 spin-off of lower-ROIC Consumer Health (Kenvue) to lift core Pharma/MedTech ROIC.</t>
        </is>
      </c>
      <c r="F18" s="14" t="inlineStr">
        <is>
          <t>ADV &gt;$1.4B/day; Bid-Ask 1 bp; institutional anchor holding with minimal fast-money crowding.</t>
        </is>
      </c>
      <c r="G18" s="14" t="inlineStr">
        <is>
          <t>Downside Beta 0.24, 95% CVaR -5.9%/mo, MDD -13.20% (ONLY asset &lt;15% MDD in 2015-2022!); AAA credit rating, $24B cash vs $32B debt, Interest Cov &gt;28x.</t>
        </is>
      </c>
      <c r="H18" s="14" t="inlineStr">
        <is>
          <t>60 consecutive years of dividend increases; disciplined bolt-on medtech/biotech M&amp;A (Actelion $30B in 2017, Abiomed $16.6B in late 2022).</t>
        </is>
      </c>
      <c r="I18" s="14" t="inlineStr">
        <is>
          <t>Executive LTIP tied to 3-year operational sales, adjusted EPS, free cash flow, and R&amp;D pipeline milestones.</t>
        </is>
      </c>
      <c r="J18" s="14" t="inlineStr">
        <is>
          <t>Specialty oncology/immunology drugs (Darzalex, Stelara, Tremfya) and surgical robotics/orthopedics have price-inelastic medical demand.</t>
        </is>
      </c>
      <c r="K18" s="14" t="inlineStr">
        <is>
          <t>SASB Caveat: opioid settlement and talc ovarian-cancer litigation ($3.9B reserve in 2020-2021; LTL bankruptcy strategy rejected by courts) require ongoing fiduciary ESG monitoring.</t>
        </is>
      </c>
      <c r="L18" s="18">
        <f>HYPERLINK("https://www.digrin.com/stocks/detail/JNJ/price", "10-K &amp; Price (JNJ)")</f>
        <v/>
      </c>
    </row>
    <row r="19" ht="64" customHeight="1">
      <c r="A19" s="10" t="inlineStr">
        <is>
          <t>UNH</t>
        </is>
      </c>
      <c r="B19" s="13" t="inlineStr">
        <is>
          <t>UnitedHealth Group Inc.
(Health Care | Original (Core 8))</t>
        </is>
      </c>
      <c r="C19" s="13" t="inlineStr">
        <is>
          <t>Tier 2/3: Quality Compounder &amp; Acyclical Healthcare Core</t>
        </is>
      </c>
      <c r="D19" s="14" t="inlineStr">
        <is>
          <t>OCF/NI = 1.38x ($26.2B OCF vs $20.1B NI in FY2022); insurance premiums collected upfront create negative working capital float.</t>
        </is>
      </c>
      <c r="E19" s="14" t="inlineStr">
        <is>
          <t>ROIC 19.8% vs WACC 6.9% (Spread +12.9%); Optum health-services segment compounds at &gt;22% ROIC.</t>
        </is>
      </c>
      <c r="F19" s="14" t="inlineStr">
        <is>
          <t>ADV &gt;$1.8B/day; Bid-Ask 1 bp; flagship healthcare institutional holding.</t>
        </is>
      </c>
      <c r="G19" s="14" t="inlineStr">
        <is>
          <t>Downside Beta 0.20, 95% CVaR -6.6%/mo, MDD -21.76%, Sharpe 1.16, FF3 Alpha +16.75%/yr (p=0.0090); A+ rating, Interest Cov 14.2x.</t>
        </is>
      </c>
      <c r="H19" s="14" t="inlineStr">
        <is>
          <t>Built Optum via accretive vertical M&amp;A (Catamaran 2015, Surgical Care Affiliates 2017, DaVita Medical 2019, Change Healthcare 2022) + 18%/yr dividend CAGR.</t>
        </is>
      </c>
      <c r="I19" s="14" t="inlineStr">
        <is>
          <t>CEO incentives aligned with Medical Care Ratio (MCR 82% target), ROIC, and Net Promoter Score.</t>
        </is>
      </c>
      <c r="J19" s="14" t="inlineStr">
        <is>
          <t>Annual insurance premium repricing automatically passes medical cost inflation (HEPI/CPI) through to employers and Medicare Advantage plans.</t>
        </is>
      </c>
      <c r="K19" s="14" t="inlineStr">
        <is>
          <t>SASB Materiality: patient data privacy/cybersecurity (highlighted OOS by the 2024 Change Healthcare cyberattack) and bipartisan scrutiny of PBM drug rebates.</t>
        </is>
      </c>
      <c r="L19" s="18">
        <f>HYPERLINK("https://www.digrin.com/stocks/detail/UNH/price", "10-K &amp; Price (UNH)")</f>
        <v/>
      </c>
    </row>
    <row r="20" ht="64" customHeight="1">
      <c r="A20" s="10" t="inlineStr">
        <is>
          <t>JPM</t>
        </is>
      </c>
      <c r="B20" s="13" t="inlineStr">
        <is>
          <t>JPMorgan Chase &amp; Co.
(Financials | Original (Core 8))</t>
        </is>
      </c>
      <c r="C20" s="13" t="inlineStr">
        <is>
          <t>Tier 3: Cyclical Value &amp; Rising-Rate Net Interest Income Hedge</t>
        </is>
      </c>
      <c r="D20" s="14" t="inlineStr">
        <is>
          <t>ROTCE = 17.2% vs COE 9.5% (Spread +7.7%); PPNR (Pre-Provision Net Revenue) &gt;$48B in FY2022; conservative loan-loss reserves.</t>
        </is>
      </c>
      <c r="E20" s="14" t="inlineStr">
        <is>
          <t>Incremental return on equity expanded rapidly in 2022 as Net Interest Income (NII) surged +28% on higher Fed funds rates.</t>
        </is>
      </c>
      <c r="F20" s="14" t="inlineStr">
        <is>
          <t>ADV &gt;$2.2B/day; Bid-Ask 1 bp; benchmark financial institution.</t>
        </is>
      </c>
      <c r="G20" s="14" t="inlineStr">
        <is>
          <t>Downside Beta 1.41, HML Value Beta +0.84 (p&lt;0.001), MDD -37.11%; CET1 Capital Ratio 13.2% ($210B+ common equity Tier-1 fortress).</t>
        </is>
      </c>
      <c r="H20" s="14" t="inlineStr">
        <is>
          <t>CEO Jamie Dimon hoarded cash in 2020-2021 rather than buying low-yield long-term bonds, avoiding the HTM duration losses that crippled peers in 2022-2023.</t>
        </is>
      </c>
      <c r="I20" s="14" t="inlineStr">
        <is>
          <t>Board enforces strict clawback provisions and ties executive pay to multi-year ROTCE and risk-governance compliance.</t>
        </is>
      </c>
      <c r="J20" s="14" t="inlineStr">
        <is>
          <t>#1 US retail deposit share (~11%) + #1 global investment bank fee share (~9%) provides low-cost deposit funding advantage.</t>
        </is>
      </c>
      <c r="K20" s="14" t="inlineStr">
        <is>
          <t>SASB Materiality: systemic risk management, cybersecurity ($12B+ annual tech budget), and $2.5T sustainable development financing target (2021-2030).</t>
        </is>
      </c>
      <c r="L20" s="18">
        <f>HYPERLINK("https://www.digrin.com/stocks/detail/JPM/price", "10-K &amp; Price (JPM)")</f>
        <v/>
      </c>
    </row>
    <row r="21" ht="64" customHeight="1">
      <c r="A21" s="10" t="inlineStr">
        <is>
          <t>PG</t>
        </is>
      </c>
      <c r="B21" s="13" t="inlineStr">
        <is>
          <t>Procter &amp; Gamble Co.
(Consumer Staples | Original (Core 8))</t>
        </is>
      </c>
      <c r="C21" s="13" t="inlineStr">
        <is>
          <t>Tier 2: Defensive Cash-Flow &amp; Low-Beta Anchor</t>
        </is>
      </c>
      <c r="D21" s="14" t="inlineStr">
        <is>
          <t>OCF/NI = 1.29x ($16.7B OCF in FY2022); FCF Productivity consistently &gt;95%-105% of Net Income.</t>
        </is>
      </c>
      <c r="E21" s="14" t="inlineStr">
        <is>
          <t>ROIC 16.2% vs WACC 6.1% (Spread +10.1%); 2015-2018 divestiture of 100+ low-margin beauty/battery brands (Coty deal, Duracell swap) structurally lifted ROIC.</t>
        </is>
      </c>
      <c r="F21" s="14" t="inlineStr">
        <is>
          <t>ADV &gt;$1.1B/day; Bid-Ask 1 bp; premier defensive institutional holding.</t>
        </is>
      </c>
      <c r="G21" s="14" t="inlineStr">
        <is>
          <t>Downside Beta 0.03 (LOWEST positive downside beta in the entire 39-ticker universe!), Market Beta 0.46, MDD -21.46%, MCTR 9.60%; AA- rating, Interest Cov &gt;22x.</t>
        </is>
      </c>
      <c r="H21" s="14" t="inlineStr">
        <is>
          <t>66 consecutive years of dividend increases + $8B-$10B/yr share buybacks funded entirely from organic FCF.</t>
        </is>
      </c>
      <c r="I21" s="14" t="inlineStr">
        <is>
          <t>Simplified 10-category organizational matrix in 2019 gave sector CEOs direct P&amp;L and FCF accountability.</t>
        </is>
      </c>
      <c r="J21" s="14" t="inlineStr">
        <is>
          <t>Category-leading daily essentials (Tide, Pampers, Bounty, Charmin, Gillette) passed through +8%-10% price hikes in 2021-2022 with minimal private-label trade-down.</t>
        </is>
      </c>
      <c r="K21" s="14" t="inlineStr">
        <is>
          <t>SASB Materiality: RSPO sustainable palm-oil sourcing, recyclable packaging targets (2030), and cold-water laundry carbon reduction.</t>
        </is>
      </c>
      <c r="L21" s="18">
        <f>HYPERLINK("https://www.digrin.com/stocks/detail/PG/price", "10-K &amp; Price (PG)")</f>
        <v/>
      </c>
    </row>
    <row r="22" ht="64" customHeight="1">
      <c r="A22" s="10" t="inlineStr">
        <is>
          <t>XOM</t>
        </is>
      </c>
      <c r="B22" s="13" t="inlineStr">
        <is>
          <t>Exxon Mobil Corp.
(Energy | Original (Core 8))</t>
        </is>
      </c>
      <c r="C22" s="13" t="inlineStr">
        <is>
          <t>Tier 1/3: Commodity Inflation Hedge &amp; Real-Asset Proxy</t>
        </is>
      </c>
      <c r="D22" s="14" t="inlineStr">
        <is>
          <t>OCF surged to $76.8B and FCF to $62.1B in FY2022 (OCF/NI = 1.38x) after lean years in 2015-2020.</t>
        </is>
      </c>
      <c r="E22" s="14" t="inlineStr">
        <is>
          <t>ROIC rebounded from 4.2% (2015-2020 avg) to &gt;22% in 2022 by concentrating capex on advantaged Guyana Stabroek block and Permian Basin.</t>
        </is>
      </c>
      <c r="F22" s="14" t="inlineStr">
        <is>
          <t>ADV &gt;$2.0B/day; Bid-Ask 1 bp; primary institutional energy inflation vehicle.</t>
        </is>
      </c>
      <c r="G22" s="14" t="inlineStr">
        <is>
          <t>Downside Beta 1.19, HML Beta +1.11 (p&lt;0.001), MDD -57.71% (2020 COVID oil crash) but +81.2% gain in 2022 when stocks/bonds crashed; AA- rating.</t>
        </is>
      </c>
      <c r="H22" s="14" t="inlineStr">
        <is>
          <t>After over-investing in counter-cyclical capex in 2018-2019, XOM pivoted in 2021-2022 to pay down $20B+ debt, protect its 40-yr dividend streak, and buy back $15B/yr.</t>
        </is>
      </c>
      <c r="I22" s="14" t="inlineStr">
        <is>
          <t>May 2021 Engine No. 1 proxy contest elected 3 independent directors, tying executive pay to capital discipline, cost reductions ($9B structural savings), and GHG intensity.</t>
        </is>
      </c>
      <c r="J22" s="14" t="inlineStr">
        <is>
          <t>Commodity price taker, but structural cost advantage (&lt;$35/bbl Brent breakeven) ensures positive FCF even in $45-$50 oil environments.</t>
        </is>
      </c>
      <c r="K22" s="14" t="inlineStr">
        <is>
          <t>SASB Materiality: Scope 1 &amp; 2 methane/flaring reduction and $17B Low Carbon Solutions (CCS/hydrogen) plan; Note: subject to fossil-fuel divestment debate at some universities.</t>
        </is>
      </c>
      <c r="L22" s="18">
        <f>HYPERLINK("https://www.digrin.com/stocks/detail/XOM/price", "10-K &amp; Price (XOM)")</f>
        <v/>
      </c>
    </row>
    <row r="23" ht="64" customHeight="1">
      <c r="A23" s="10" t="inlineStr">
        <is>
          <t>HD</t>
        </is>
      </c>
      <c r="B23" s="13" t="inlineStr">
        <is>
          <t>The Home Depot, Inc.
(Consumer Discretionary | Original (Core 8))</t>
        </is>
      </c>
      <c r="C23" s="13" t="inlineStr">
        <is>
          <t>Tier 3: High-ROIC Quality Cyclical &amp; Housing Wealth Proxy</t>
        </is>
      </c>
      <c r="D23" s="14" t="inlineStr">
        <is>
          <t>OCF/NI = 1.15x ($14.6B OCF in FY2022); rapid inventory turnover and negative net working capital surges during spring building seasons.</t>
        </is>
      </c>
      <c r="E23" s="14" t="inlineStr">
        <is>
          <t>ROIC &gt;38.0% vs WACC 7.9% (Spread +30.1%); generates highest return on invested capital in big-box retail by sweating existing 2,300+ store footprint rather than building new stores.</t>
        </is>
      </c>
      <c r="F23" s="14" t="inlineStr">
        <is>
          <t>ADV &gt;$1.5B/day; Bid-Ask 1 bp; core institutional consumer compounder.</t>
        </is>
      </c>
      <c r="G23" s="14" t="inlineStr">
        <is>
          <t>Downside Beta 0.92, MDD -33.09%, CAGR 17.40%/yr, Sharpe 0.82; A credit rating, $40B long-term fixed debt (well-laddered at ~3.6% avg coupon), Interest Cov 13.5x.</t>
        </is>
      </c>
      <c r="H23" s="14" t="inlineStr">
        <is>
          <t>Invested $11B in 'One Home Depot' supply-chain/digital integration (2017-2022), acquired HD Supply ($8B, 2020), raised dividend &gt;15%/yr, and retired 24% of shares.</t>
        </is>
      </c>
      <c r="I23" s="14" t="inlineStr">
        <is>
          <t>Store-manager and executive bonuses explicitly tied to ROIC (minimum 35%+ target), inventory turns, and customer service scores.</t>
        </is>
      </c>
      <c r="J23" s="14" t="inlineStr">
        <is>
          <t>Duopoly with Lowe's; ~50% of revenue comes from Pro contractors (sticky MRO/remodel demand where time-savings trump minor price differences), enabling lumber/copper inflation pass-through.</t>
        </is>
      </c>
      <c r="K23" s="14" t="inlineStr">
        <is>
          <t>SASB Materiality: sustainable forestry timber certification (FSC) and energy-efficient Eco Options product lines.</t>
        </is>
      </c>
      <c r="L23" s="18">
        <f>HYPERLINK("https://www.digrin.com/stocks/detail/HD/price", "10-K &amp; Price (HD)")</f>
        <v/>
      </c>
    </row>
    <row r="24" ht="64" customHeight="1">
      <c r="A24" s="10" t="inlineStr">
        <is>
          <t>NEE</t>
        </is>
      </c>
      <c r="B24" s="13" t="inlineStr">
        <is>
          <t>NextEra Energy, Inc.
(Utilities | Original (Core 8))</t>
        </is>
      </c>
      <c r="C24" s="13" t="inlineStr">
        <is>
          <t>Tier 2: Regulated Utility + Green Energy Growth Hybrid</t>
        </is>
      </c>
      <c r="D24" s="14" t="inlineStr">
        <is>
          <t>OCF $8.3B in FY2022; regulated utility cash flows are stable, though consolidated FCF is negative due to $15B-$18B/yr green-energy growth capex.</t>
        </is>
      </c>
      <c r="E24" s="14" t="inlineStr">
        <is>
          <t>Regulated ROE ~11.4% at Florida Power &amp; Light (constructive regulatory compact, 150 bps above utility peers) vs WACC ~5.8%.</t>
        </is>
      </c>
      <c r="F24" s="14" t="inlineStr">
        <is>
          <t>ADV &gt;$750M/day; Bid-Ask 1 bp; 4-for-1 stock split executed in Oct 2020.</t>
        </is>
      </c>
      <c r="G24" s="14" t="inlineStr">
        <is>
          <t>Market Beta 0.47, HML Beta -0.46 (trades like a growth stock sensitive to interest rates!), MDD -23.51%, FF3 Alpha +12.53%/yr (p=0.0353); BBB+/A- rating, Interest Cov 4.1x.</t>
        </is>
      </c>
      <c r="H24" s="14" t="inlineStr">
        <is>
          <t>Grew adjusted EPS at ~8.5%/yr and dividends at ~10%/yr (2015-2022); acquired Gulf Power from Southern Co. ($6.4B, 2019) and modernized grid to cut O&amp;M/MWh by &gt;50%.</t>
        </is>
      </c>
      <c r="I24" s="14" t="inlineStr">
        <is>
          <t>Executive compensation tied to adjusted EPS, ROE, customer reliability (SAIDI), and renewable backlog execution.</t>
        </is>
      </c>
      <c r="J24" s="14" t="inlineStr">
        <is>
          <t>FPL enjoys automatic fuel-cost pass-through and hurricane storm-recovery surcharges in high-growth Florida; Caveat: higher interest rates in 2022-2023 squeezed NextEra Energy Partners (NEP) yieldco financing.</t>
        </is>
      </c>
      <c r="K24" s="14" t="inlineStr">
        <is>
          <t>SASB Flagship Leader: #1 producer of wind and solar energy in the world ('Real Zero' 2045 decarbonization blueprint)—ideal for University Endowment climate mandates.</t>
        </is>
      </c>
      <c r="L24" s="18">
        <f>HYPERLINK("https://www.digrin.com/stocks/detail/NEE/price", "10-K &amp; Price (NEE)")</f>
        <v/>
      </c>
    </row>
    <row r="25" ht="64" customHeight="1">
      <c r="A25" s="4" t="inlineStr">
        <is>
          <t>AAPL</t>
        </is>
      </c>
      <c r="B25" s="11" t="inlineStr">
        <is>
          <t>Apple Inc.
(Information Technology | New Stock (IT +1))</t>
        </is>
      </c>
      <c r="C25" s="11" t="inlineStr">
        <is>
          <t>Tier 3: Ecosystem Compounder &amp; Cash-Return Titan</t>
        </is>
      </c>
      <c r="D25" s="5" t="inlineStr">
        <is>
          <t>OCF/NI = 1.19x ($122.2B OCF vs $99.8B NI in FY2022); negative cash conversion cycle (-45 days: collects from consumers immediately, pays suppliers in 60-90 days); FCF $111.4B.</t>
        </is>
      </c>
      <c r="E25" s="5" t="inlineStr">
        <is>
          <t>ROIC &gt;45.0% vs WACC 8.2% (Spread +36.8%); asset-light outsourced manufacturing + high-margin Services (&gt;72% gross margin) drives industry-leading ROIIC.</t>
        </is>
      </c>
      <c r="F25" s="5" t="inlineStr">
        <is>
          <t>ADV &gt;$11.0B/day (#1 most liquid stock in US); Bid-Ask &lt;1 bp; Crowding warning: #1 holding in VTI (6.1%), SPY (6.8%), QQQ (12.5%), so direct stock weight is capped at 3%.</t>
        </is>
      </c>
      <c r="G25" s="5" t="inlineStr">
        <is>
          <t>Downside Beta 0.95, 95% CVaR -11.9%/mo, MDD -30.46%, FF3 Alpha +11.05%/yr (p=0.131); AA+ rating, $169B cash/securities vs $120B low-rate fixed notes (2.4% avg coupon), Interest Cov &gt;40x.</t>
        </is>
      </c>
      <c r="H25" s="5" t="inlineStr">
        <is>
          <t>Avoided overpriced mega-mergers (largest deal was Beats for $3B in 2014); returned &gt;$550B via share buybacks (2015-2022) and retired ~28% of share count; 4-for-1 split in Aug 2020.</t>
        </is>
      </c>
      <c r="I25" s="5" t="inlineStr">
        <is>
          <t>Tim Cook's RSU awards vest on 3-year S&amp;P 500 relative TSR percentile (requires 85th percentile for max payout); strong audit committee oversight.</t>
        </is>
      </c>
      <c r="J25" s="5" t="inlineStr">
        <is>
          <t>Global aspirational ecosystem lock-in (1.8B+ active devices in 2022) allowed Pro iPhone average selling price (ASP) hikes; Supply-chain concentration risk: &gt;85% final assembly in China (Foxconn/Zhengzhou 2022 disruption).</t>
        </is>
      </c>
      <c r="K25" s="5" t="inlineStr">
        <is>
          <t>SASB Materiality: 100% renewable energy in corporate operations and 2030 supply-chain carbon neutrality; scrutinized on App Store antitrust (EU DMA) and Foxconn labor standards.</t>
        </is>
      </c>
      <c r="L25" s="23">
        <f>HYPERLINK("https://www.digrin.com/stocks/detail/AAPL/price", "10-K &amp; Price (AAPL)")</f>
        <v/>
      </c>
    </row>
    <row r="26" ht="64" customHeight="1">
      <c r="A26" s="7" t="inlineStr">
        <is>
          <t>CSCO</t>
        </is>
      </c>
      <c r="B26" s="9" t="inlineStr">
        <is>
          <t>Cisco Systems, Inc.
(Information Technology | New Stock (IT +2))</t>
        </is>
      </c>
      <c r="C26" s="9" t="inlineStr">
        <is>
          <t>Tier 2: High-Yield Legacy Tech &amp; Enterprise Infrastructure</t>
        </is>
      </c>
      <c r="D26" s="8" t="inlineStr">
        <is>
          <t>OCF/NI = 1.28x ($13.2B OCF vs $11.8B NI in FY2022); $23B+ deferred revenue balance from multi-year software/security subscriptions.</t>
        </is>
      </c>
      <c r="E26" s="8" t="inlineStr">
        <is>
          <t>ROIC 19.4% vs WACC 7.5% (Spread +11.9%); steady capital efficiency though lower organic top-line growth (3-5%/yr) than cloud hyperscalers.</t>
        </is>
      </c>
      <c r="F26" s="8" t="inlineStr">
        <is>
          <t>ADV &gt;$950M/day; Bid-Ask 1 bp; moderate institutional ownership with low hedge-fund crowding risk.</t>
        </is>
      </c>
      <c r="G26" s="8" t="inlineStr">
        <is>
          <t>Downside Beta 0.60, 95% CVaR -9.8%/mo, MDD -35.50%; AA- balance sheet ($19.3B cash vs $9.5B total debt = net cash positive!), Interest Cov &gt;28x.</t>
        </is>
      </c>
      <c r="H26" s="8" t="inlineStr">
        <is>
          <t>Acquired tuck-in cloud/security leaders (AppDynamics 2017, Duo Security 2018, Acacia 2021) while returning &gt;50% of FCF via a ~3.1% dividend + steady buybacks.</t>
        </is>
      </c>
      <c r="I26" s="8" t="inlineStr">
        <is>
          <t>Executive compensation linked to Operating Cash Flow, EPS, and recurring software ARR% (which grew from &lt;15% in 2015 to 43% in 2022).</t>
        </is>
      </c>
      <c r="J26" s="8" t="inlineStr">
        <is>
          <t>Enterprise campus switching/routing dominance (~45% global market share) provides price pass-through, though 2021-2022 semiconductor component shortages delayed backlog fulfillment.</t>
        </is>
      </c>
      <c r="K26" s="8" t="inlineStr">
        <is>
          <t>SASB Materiality: circular-economy hardware recycling program and energy-efficient Silicon One routing chips; clean governance record.</t>
        </is>
      </c>
      <c r="L26" s="28">
        <f>HYPERLINK("https://www.digrin.com/stocks/detail/CSCO/price", "10-K &amp; Price (CSCO)")</f>
        <v/>
      </c>
    </row>
    <row r="27" ht="64" customHeight="1">
      <c r="A27" s="4" t="inlineStr">
        <is>
          <t>TXN</t>
        </is>
      </c>
      <c r="B27" s="11" t="inlineStr">
        <is>
          <t>Texas Instruments Inc.
(Information Technology | New Stock (IT +3))</t>
        </is>
      </c>
      <c r="C27" s="11" t="inlineStr">
        <is>
          <t>Tier 2/3: Analog Semiconductor FCF-per-Share Compounder</t>
        </is>
      </c>
      <c r="D27" s="5" t="inlineStr">
        <is>
          <t>OCF/NI = 1.15x ($8.7B OCF in FY2022); FCF Margin averaged 34% of revenue over 2015-2022; low inventory obsolescence because analog catalog chips have 10-20 year shelf lives.</t>
        </is>
      </c>
      <c r="E27" s="5" t="inlineStr">
        <is>
          <t>ROIC 34.6% vs WACC 8.1% (Spread +26.5%); 300mm wafer fabs generate 40% lower die cost and +800 bps structural gross-margin advantage over 200mm analog peers.</t>
        </is>
      </c>
      <c r="F27" s="5" t="inlineStr">
        <is>
          <t>ADV &gt;$850M/day; Bid-Ask 1 bp; owned primarily by long-only dividend/quality institutions rather than momentum pods.</t>
        </is>
      </c>
      <c r="G27" s="5" t="inlineStr">
        <is>
          <t>Downside Beta 0.96, MDD -21.55% (lowest drawdown in IT sector!), HML Beta +0.14; A+ rating, $9.1B cash vs $8.7B laddered fixed-rate debt, Interest Cov &gt;32x.</t>
        </is>
      </c>
      <c r="H27" s="5" t="inlineStr">
        <is>
          <t>Textbook capital allocation: zero M&amp;A since 2011 National Semiconductor deal; 19 consecutive years of dividend hikes (24% CAGR) and 47% share count reduction since 2004.</t>
        </is>
      </c>
      <c r="I27" s="5" t="inlineStr">
        <is>
          <t>Board explicitly evaluates management on multi-year Free Cash Flow per Share growth rather than quarterly GAAP EPS or revenue targets.</t>
        </is>
      </c>
      <c r="J27" s="5" t="inlineStr">
        <is>
          <t>100,000+ analog &amp; embedded products sold to &gt;100,000 industrial/auto customers (no single customer &gt;4% of sales), giving strong inflation pricing power.</t>
        </is>
      </c>
      <c r="K27" s="5" t="inlineStr">
        <is>
          <t>SASB Materiality: water recycling and abatement in Lehi/Richardson 300mm semiconductor fabs; zero ESG controversies.</t>
        </is>
      </c>
      <c r="L27" s="23">
        <f>HYPERLINK("https://www.digrin.com/stocks/detail/TXN/price", "10-K &amp; Price (TXN)")</f>
        <v/>
      </c>
    </row>
    <row r="28" ht="64" customHeight="1">
      <c r="A28" s="7" t="inlineStr">
        <is>
          <t>NVDA</t>
        </is>
      </c>
      <c r="B28" s="9" t="inlineStr">
        <is>
          <t>NVIDIA Corp.
(Information Technology | New Stock (IT +4))</t>
        </is>
      </c>
      <c r="C28" s="9" t="inlineStr">
        <is>
          <t>Tier 3: High-Beta AI/GPU Secular Alpha Satellite</t>
        </is>
      </c>
      <c r="D28" s="8" t="inlineStr">
        <is>
          <t>OCF/NI = 1.12x over 2015-2022; Caveat: cyclical gaming/crypto inventory build in FY2022 caused a $2.2B inventory charge before AI data-center demand exploded.</t>
        </is>
      </c>
      <c r="E28" s="8" t="inlineStr">
        <is>
          <t>ROIC averaged 29.8% (2015-2022) and exceeded 50% in peak years vs WACC 9.4%; fabless model (outsourced to TSMC) requires minimal physical capex.</t>
        </is>
      </c>
      <c r="F28" s="8" t="inlineStr">
        <is>
          <t>ADV &gt;$10.0B/day; ultra-liquid; High crowding &amp; momentum beta (Beta_Mkt 1.71, HML -0.67) requires strict position sizing.</t>
        </is>
      </c>
      <c r="G28" s="8" t="inlineStr">
        <is>
          <t>Downside Beta 1.78, 95% CVaR -19.2%/mo, MDD -62.82% (2018 &amp; 2022), FF3 Alpha +35.52%/yr (p=0.0085); A/AA- rating, $13.3B cash vs $11.0B long-term fixed debt.</t>
        </is>
      </c>
      <c r="H28" s="8" t="inlineStr">
        <is>
          <t>Brilliant $6.9B acquisition of Mellanox (2020) locked in InfiniBand high-speed AI networking; walked away from ARM acquisition in Feb 2022 due to regulatory hurdles.</t>
        </is>
      </c>
      <c r="I28" s="8" t="inlineStr">
        <is>
          <t>Founder-CEO Jensen Huang (~3.5% ownership) provides 30-year strategic continuity; Caveat: high employee stock-based compensation (~$2.5B/yr) partially offset by buybacks.</t>
        </is>
      </c>
      <c r="J28" s="8" t="inlineStr">
        <is>
          <t>Near-monopoly (&gt;85% share) in AI training GPUs and CUDA software ecosystem (3.5M+ developers) grants extraordinary pricing power ($10K-$30K per A100/H100 chip); 100% foundry reliance on TSMC Taiwan.</t>
        </is>
      </c>
      <c r="K28" s="8" t="inlineStr">
        <is>
          <t>SASB Materiality: GPU energy efficiency (20x better AI inference per watt vs CPUs) helps data centers decarbonize; geopolitical risk from Oct 2022 US export controls to China.</t>
        </is>
      </c>
      <c r="L28" s="28">
        <f>HYPERLINK("https://www.digrin.com/stocks/detail/NVDA/price", "10-K &amp; Price (NVDA)")</f>
        <v/>
      </c>
    </row>
    <row r="29" ht="64" customHeight="1">
      <c r="A29" s="4" t="inlineStr">
        <is>
          <t>PFE</t>
        </is>
      </c>
      <c r="B29" s="11" t="inlineStr">
        <is>
          <t>Pfizer Inc.
(Health Care | New Stock (HC +1))</t>
        </is>
      </c>
      <c r="C29" s="11" t="inlineStr">
        <is>
          <t>Tier 2: High-Yield Biopharma &amp; Pandemic Counter-Cyclical</t>
        </is>
      </c>
      <c r="D29" s="5" t="inlineStr">
        <is>
          <t>OCF/NI = 1.18x ($29.3B OCF in FY2022 peak); steady pre-COVID cash flows followed by $56B Comirnaty/Paxlovid windfall in 2021-2022.</t>
        </is>
      </c>
      <c r="E29" s="5" t="inlineStr">
        <is>
          <t>ROIC rose from 11.2% (2015-2019) to &gt;26% (2021-2022) before normalizing in 2023-2025.</t>
        </is>
      </c>
      <c r="F29" s="5" t="inlineStr">
        <is>
          <t>ADV &gt;$1.3B/day; Bid-Ask 1 bp; low R² (26.5%) provides idiosyncratic diversification.</t>
        </is>
      </c>
      <c r="G29" s="5" t="inlineStr">
        <is>
          <t>Downside Beta 0.48, Market Beta 0.75, MDD -26.03% in 2015-2022 (followed by -16.7%/yr OOS in 2023-2025); A+ balance sheet.</t>
        </is>
      </c>
      <c r="H29" s="5" t="inlineStr">
        <is>
          <t>Spun off Upjohn generics into Viatris (Nov 2020) and Consumer Healthcare JV with GSK; deployed COVID cash windfall into Arena, Biohaven ($11.6B, 2022), and Global Blood ($5.4B, 2022).</t>
        </is>
      </c>
      <c r="I29" s="5" t="inlineStr">
        <is>
          <t>Executive compensation linked to pipeline approvals and revenue; lesson in post-windfall M&amp;A reinvestment risk.</t>
        </is>
      </c>
      <c r="J29" s="5" t="inlineStr">
        <is>
          <t>High pricing power in oncology/vaccines (Prevnar, Ibrance, Eliquis), but 2026-2028 patent cliffs (Eliquis, Ibrance) require pipeline replacement.</t>
        </is>
      </c>
      <c r="K29" s="5" t="inlineStr">
        <is>
          <t>SASB Materiality: global equitable vaccine distribution during COVID-19 enhanced university institutional reputation.</t>
        </is>
      </c>
      <c r="L29" s="23">
        <f>HYPERLINK("https://www.digrin.com/stocks/detail/PFE/price", "10-K &amp; Price (PFE)")</f>
        <v/>
      </c>
    </row>
    <row r="30" ht="64" customHeight="1">
      <c r="A30" s="7" t="inlineStr">
        <is>
          <t>ABT</t>
        </is>
      </c>
      <c r="B30" s="9" t="inlineStr">
        <is>
          <t>Abbott Laboratories
(Health Care | New Stock (HC +2))</t>
        </is>
      </c>
      <c r="C30" s="9" t="inlineStr">
        <is>
          <t>Tier 2/3: MedTech &amp; Diagnostics Dividend Aristocrat</t>
        </is>
      </c>
      <c r="D30" s="8" t="inlineStr">
        <is>
          <t>OCF/NI = 1.32x ($9.6B OCF in FY2022); balanced cash generation across Diagnostics, MedTech, Nutrition, and Established Pharma.</t>
        </is>
      </c>
      <c r="E30" s="8" t="inlineStr">
        <is>
          <t>ROIC 14.8% vs WACC 6.7% (Spread +8.1%); FreeStyle Libre continuous glucose monitoring (CGM) scaled to &gt;$4.3B/yr at high incremental margins.</t>
        </is>
      </c>
      <c r="F30" s="8" t="inlineStr">
        <is>
          <t>ADV &gt;$750M/day; Bid-Ask 1 bp; stable Dividend King ownership base.</t>
        </is>
      </c>
      <c r="G30" s="8" t="inlineStr">
        <is>
          <t>Downside Beta 0.57, 95% CVaR -7.3%/mo, MDD -30.42%, Sharpe 0.69; AA- credit rating after paying down $10B+ of St. Jude acquisition debt, Interest Cov 18.4x.</t>
        </is>
      </c>
      <c r="H30" s="8" t="inlineStr">
        <is>
          <t>Successfully integrated St. Jude Medical ($25B, 2017) and Alere (2017) while raising dividends for 50+ consecutive years.</t>
        </is>
      </c>
      <c r="I30" s="8" t="inlineStr">
        <is>
          <t>CEO Robert Ford's incentives tied to organic sales growth, return on net assets (RONA), and FCF.</t>
        </is>
      </c>
      <c r="J30" s="8" t="inlineStr">
        <is>
          <t>Diversified customer base across hospitals, labs, and consumers; Caveat: 2022 Sturgis infant-formula plant recall temporarily impacted Nutrition segment.</t>
        </is>
      </c>
      <c r="K30" s="8" t="inlineStr">
        <is>
          <t>SASB Materiality: medical device quality/safety management (FDA Sturgis remediation in 2022) and rapid COVID diagnostic access.</t>
        </is>
      </c>
      <c r="L30" s="28">
        <f>HYPERLINK("https://www.digrin.com/stocks/detail/ABT/price", "10-K &amp; Price (ABT)")</f>
        <v/>
      </c>
    </row>
    <row r="31" ht="64" customHeight="1">
      <c r="A31" s="4" t="inlineStr">
        <is>
          <t>MRK</t>
        </is>
      </c>
      <c r="B31" s="11" t="inlineStr">
        <is>
          <t>Merck &amp; Co., Inc.
(Health Care | New Stock (HC +3))</t>
        </is>
      </c>
      <c r="C31" s="11" t="inlineStr">
        <is>
          <t>Tier 2: Negative-Downside-Beta Oncology &amp; Vaccine Anchor</t>
        </is>
      </c>
      <c r="D31" s="5" t="inlineStr">
        <is>
          <t>OCF/NI = 1.27x ($19.1B OCF in FY2022); massive free cash flow generation from Keytruda and Gardasil.</t>
        </is>
      </c>
      <c r="E31" s="5" t="inlineStr">
        <is>
          <t>ROIC 21.6% vs WACC 6.3% (Spread +15.3%); spun off slow-growth women's health/legacy brands into Organon (June 2021) to boost ROIC.</t>
        </is>
      </c>
      <c r="F31" s="5" t="inlineStr">
        <is>
          <t>ADV &gt;$1.1B/day; Bid-Ask 1 bp; acts as an institutional safe haven during tech/cyclical sell-offs.</t>
        </is>
      </c>
      <c r="G31" s="5" t="inlineStr">
        <is>
          <t>NEGATIVE Downside Beta (-0.44 vs VTI!), Market Beta 0.48, MDD -17.62%, MCTR 9.48% (lowest in portfolio!); A+ rating, Interest Cov &gt;19x.</t>
        </is>
      </c>
      <c r="H31" s="5" t="inlineStr">
        <is>
          <t>Acquired Acceleron Pharma ($11.5B in 2021 for pulmonary arterial hypertension drug Winrevair) to diversify ahead of Keytruda's 2028 patent expiration.</t>
        </is>
      </c>
      <c r="I31" s="5" t="inlineStr">
        <is>
          <t>Executive compensation tied to pipeline progression, operating cash flow, and 3-year ROIC.</t>
        </is>
      </c>
      <c r="J31" s="5" t="inlineStr">
        <is>
          <t>Keytruda ($20.9B FY2022 sales) is standard-of-care across 30+ oncology indications; Concentration risk: Keytruda represents ~36% of total revenue.</t>
        </is>
      </c>
      <c r="K31" s="5" t="inlineStr">
        <is>
          <t>SASB Materiality: global vaccine access (Gardasil HPV, Ebola) aligns strongly with university public-health missions.</t>
        </is>
      </c>
      <c r="L31" s="23">
        <f>HYPERLINK("https://www.digrin.com/stocks/detail/MRK/price", "10-K &amp; Price (MRK)")</f>
        <v/>
      </c>
    </row>
    <row r="32" ht="64" customHeight="1">
      <c r="A32" s="7" t="inlineStr">
        <is>
          <t>LLY</t>
        </is>
      </c>
      <c r="B32" s="9" t="inlineStr">
        <is>
          <t>Eli Lilly and Co.
(Health Care | New Stock (HC +4))</t>
        </is>
      </c>
      <c r="C32" s="9" t="inlineStr">
        <is>
          <t>Tier 3: High-Alpha Metabolic/Incretin &amp; Immunology Leader</t>
        </is>
      </c>
      <c r="D32" s="8" t="inlineStr">
        <is>
          <t>OCF/NI = 1.16x ($7.4B OCF in FY2022); rising gross margins (&gt;77%) as high-margin incretin and oncology biologics scaled.</t>
        </is>
      </c>
      <c r="E32" s="8" t="inlineStr">
        <is>
          <t>ROIC 24.5% vs WACC 6.5% (Spread +18.0%); industry-highest R&amp;D ROIIC driven by internally discovered GLP-1/GIP peptides.</t>
        </is>
      </c>
      <c r="F32" s="8" t="inlineStr">
        <is>
          <t>ADV &gt;$1.2B/day (surged to &gt;$3B/day in 2023-2025); low market correlation (R² = 12.9%) makes it an ideal diversifier.</t>
        </is>
      </c>
      <c r="G32" s="8" t="inlineStr">
        <is>
          <t>Downside Beta 0.10, Market Beta 0.26, 95% CVaR -7.1%/mo, MDD -20.16%, FF3 Alpha +22.65%/yr (p=0.0056); A+ rating, Interest Cov &gt;16x.</t>
        </is>
      </c>
      <c r="H32" s="8" t="inlineStr">
        <is>
          <t>Divested Elanco Animal Health (2018-2019 IPO/spin) to focus 100% on human biopharma; acquired Loxo Oncology ($8B in 2019); funded $7B+/yr R&amp;D.</t>
        </is>
      </c>
      <c r="I32" s="8" t="inlineStr">
        <is>
          <t>CEO David Ricks' compensation heavily weighted toward multi-year R&amp;D pipeline launches (Mounjaro, Verzenio, Donanemab) and relative TSR.</t>
        </is>
      </c>
      <c r="J32" s="8" t="inlineStr">
        <is>
          <t>Breakthrough clinical efficacy in diabetes/obesity (Trulicity, Mounjaro approved May 2022) grants strong formulary pricing power globally.</t>
        </is>
      </c>
      <c r="K32" s="8" t="inlineStr">
        <is>
          <t>SASB Materiality: proactive insulin affordability program ($35/month cap on insulin lispro) mitigated US congressional drug-pricing headline risk.</t>
        </is>
      </c>
      <c r="L32" s="28">
        <f>HYPERLINK("https://www.digrin.com/stocks/detail/LLY/price", "10-K &amp; Price (LLY)")</f>
        <v/>
      </c>
    </row>
    <row r="33" ht="64" customHeight="1">
      <c r="A33" s="4" t="inlineStr">
        <is>
          <t>BAC</t>
        </is>
      </c>
      <c r="B33" s="11" t="inlineStr">
        <is>
          <t>Bank of America Corp.
(Financials | New Stock (FIN +1))</t>
        </is>
      </c>
      <c r="C33" s="11" t="inlineStr">
        <is>
          <t>Tier 3: High-Beta Rate-Sensitive Retail Deposit Franchise</t>
        </is>
      </c>
      <c r="D33" s="5" t="inlineStr">
        <is>
          <t>ROTCE rose from 7.5% (2015) to 15.8% (2021-2022); strong consumer deposit cash flow.</t>
        </is>
      </c>
      <c r="E33" s="5" t="inlineStr">
        <is>
          <t>Positive operating leverage under 'Responsible Growth', though 2020-2021 allocation of $600B+ excess deposits into 1.5%-yielding long-duration agency MBS depressed 2022-2023 ROIC.</t>
        </is>
      </c>
      <c r="F33" s="5" t="inlineStr">
        <is>
          <t>ADV &gt;$1.6B/day; Bid-Ask 1 bp; Berkshire Hathaway (#1 shareholder, ~12% stake).</t>
        </is>
      </c>
      <c r="G33" s="5" t="inlineStr">
        <is>
          <t>Downside Beta 1.31, Market Beta 1.38, HML Beta +0.97 (highest bank value beta), MDD -39.34%; CET1 11.2%.</t>
        </is>
      </c>
      <c r="H33" s="5" t="inlineStr">
        <is>
          <t>Returned $100B+ via buybacks and dividends post-CCAR stress tests (2016-2022) after cleaning up legacy Countrywide mortgage litigation.</t>
        </is>
      </c>
      <c r="I33" s="5" t="inlineStr">
        <is>
          <t>CEO Brian Moynihan's incentives tied to strict credit underwriting standards ( consumer charge-offs kept near multi-decade lows).</t>
        </is>
      </c>
      <c r="J33" s="5" t="inlineStr">
        <is>
          <t>$1.0T+ retail deposit base with sticky checking accounts and Zelle/Erica digital banking (&gt;43M active digital users in 2022).</t>
        </is>
      </c>
      <c r="K33" s="5" t="inlineStr">
        <is>
          <t>SASB Materiality: consumer financial protection and $1.5T sustainable finance commitment.</t>
        </is>
      </c>
      <c r="L33" s="23">
        <f>HYPERLINK("https://www.digrin.com/stocks/detail/BAC/price", "10-K &amp; Price (BAC)")</f>
        <v/>
      </c>
    </row>
    <row r="34" ht="64" customHeight="1">
      <c r="A34" s="7" t="inlineStr">
        <is>
          <t>BLK</t>
        </is>
      </c>
      <c r="B34" s="9" t="inlineStr">
        <is>
          <t>BlackRock, Inc.
(Financials | New Stock (FIN +2))</t>
        </is>
      </c>
      <c r="C34" s="9" t="inlineStr">
        <is>
          <t>Tier 3: Capital-Light Asset Management &amp; FinTech Compounder</t>
        </is>
      </c>
      <c r="D34" s="8" t="inlineStr">
        <is>
          <t>OCF/NI = 1.15x ($4.9B OCF in FY2022); &gt;40% operating margin on fee-based revenue; zero commercial loan-book credit risk.</t>
        </is>
      </c>
      <c r="E34" s="8" t="inlineStr">
        <is>
          <t>Tangible ROIC &gt;30% vs WACC 8.5%; each $100B of new iShares ETF inflows requires near-zero incremental physical capital.</t>
        </is>
      </c>
      <c r="F34" s="8" t="inlineStr">
        <is>
          <t>ADV &gt;$650M/day; Bid-Ask 2 bps; high beta (1.31) to global equity/bond market levels.</t>
        </is>
      </c>
      <c r="G34" s="8" t="inlineStr">
        <is>
          <t>Downside Beta 1.11, MDD -40.15% (2022 stock+bond dual bear market), R² = 69.6%; AA- credit rating, Interest Cov &gt;24x.</t>
        </is>
      </c>
      <c r="H34" s="8" t="inlineStr">
        <is>
          <t>Grew AUM from $4.6T (2015) to $8.6T (2022) via organic iShares ETF inflows and strategic tech acquisitions (eFront $1.3B in 2019 for private-markets software).</t>
        </is>
      </c>
      <c r="I34" s="8" t="inlineStr">
        <is>
          <t>Founder-CEO Larry Fink's pay tied to organic base-fee growth, operating margin, and Aladdin technology ACV growth.</t>
        </is>
      </c>
      <c r="J34" s="8" t="inlineStr">
        <is>
          <t>Aladdin risk platform ($1.4B+ annual contract value) has &gt;98% institutional retention rate; iShares commands ~33% global ETF market share.</t>
        </is>
      </c>
      <c r="K34" s="8" t="inlineStr">
        <is>
          <t>SASB Materiality: navigated cross-currents between red-state anti-ESG boycotts and European/University Net-Zero asset owner mandates by launching 'Voting Choice' in 2022.</t>
        </is>
      </c>
      <c r="L34" s="28">
        <f>HYPERLINK("https://www.digrin.com/stocks/detail/BLK/price", "10-K &amp; Price (BLK)")</f>
        <v/>
      </c>
    </row>
    <row r="35" ht="64" customHeight="1">
      <c r="A35" s="4" t="inlineStr">
        <is>
          <t>AXP</t>
        </is>
      </c>
      <c r="B35" s="11" t="inlineStr">
        <is>
          <t>American Express Co.
(Financials | New Stock (FIN +3))</t>
        </is>
      </c>
      <c r="C35" s="11" t="inlineStr">
        <is>
          <t>Tier 3: Affluent Closed-Loop Payments &amp; Inflation Toll-Road</t>
        </is>
      </c>
      <c r="D35" s="5" t="inlineStr">
        <is>
          <t>ROE &gt;28.0% vs COE 9.8% (Spread +18.2%); industry-lowest net write-off rate (&lt;2.0%) due to affluent cardmember credit quality.</t>
        </is>
      </c>
      <c r="E35" s="5" t="inlineStr">
        <is>
          <t>High incremental return on marketing/rewards reinvestment as Millennial/Gen-Z Platinum &amp; Gold card acquisitions surged (&gt;60% of new accounts in 2022).</t>
        </is>
      </c>
      <c r="F35" s="5" t="inlineStr">
        <is>
          <t>ADV &gt;$700M/day; Berkshire Hathaway holds a permanent ~20% anchor stake, reducing free-float volatility.</t>
        </is>
      </c>
      <c r="G35" s="5" t="inlineStr">
        <is>
          <t>Downside Beta 1.27, HML Beta +0.59, MDD -41.44% (early 2020 travel freeze), followed by +37.49%/yr OOS CAGR in 2023-2025; CET1 10.3%.</t>
        </is>
      </c>
      <c r="H35" s="5" t="inlineStr">
        <is>
          <t>Consistent share repurchases (-22% share count 2015-2022) and dividend growth while investing in Kabbage (2020) and Resy (2019) dining/SMB ecosystem.</t>
        </is>
      </c>
      <c r="I35" s="5" t="inlineStr">
        <is>
          <t>CEO Stephen Squeri's KPIs tied to billed business growth, EPS, ROE, and cardmember retention (&gt;98% Platinum retention).</t>
        </is>
      </c>
      <c r="J35" s="5" t="inlineStr">
        <is>
          <t>Closed-loop network charges ~2.3%-2.5% merchant discount fee (vs ~1.5% for Visa/MC) + $695/yr Platinum card fee—an automatic nominal inflation toll-road.</t>
        </is>
      </c>
      <c r="K35" s="5" t="inlineStr">
        <is>
          <t>SASB Materiality: data security, fair lending practices, and transparent fee disclosures; zero fossil-fuel exposure.</t>
        </is>
      </c>
      <c r="L35" s="23">
        <f>HYPERLINK("https://www.digrin.com/stocks/detail/AXP/price", "10-K &amp; Price (AXP)")</f>
        <v/>
      </c>
    </row>
    <row r="36" ht="64" customHeight="1">
      <c r="A36" s="7" t="inlineStr">
        <is>
          <t>KO</t>
        </is>
      </c>
      <c r="B36" s="9" t="inlineStr">
        <is>
          <t>The Coca-Cola Co.
(Consumer Staples | New Stock (CS +1))</t>
        </is>
      </c>
      <c r="C36" s="9" t="inlineStr">
        <is>
          <t>Tier 2: Global Beverage Toll-Road &amp; Low-Beta Income</t>
        </is>
      </c>
      <c r="D36" s="8" t="inlineStr">
        <is>
          <t>OCF/NI = 1.16x ($11.0B OCF in FY2022); asset-light concentrate model generates ~25% FCF margin.</t>
        </is>
      </c>
      <c r="E36" s="8" t="inlineStr">
        <is>
          <t>ROIC 18.5% vs WACC 6.0% (Spread +12.5%) after shedding capital-intensive bottling plants (2015-2019 refranchising).</t>
        </is>
      </c>
      <c r="F36" s="8" t="inlineStr">
        <is>
          <t>ADV &gt;$900M/day; Bid-Ask 1 bp; Berkshire Hathaway holds a permanent 9.2% (400M share) anchor stake.</t>
        </is>
      </c>
      <c r="G36" s="8" t="inlineStr">
        <is>
          <t>Downside Beta 0.47, Market Beta 0.61, SMB -0.75, MDD -23.57%; A+ credit rating, Interest Cov &gt;12x (note: $3.3B IRS transfer-pricing tax dispute monitored in 10-K).</t>
        </is>
      </c>
      <c r="H36" s="8" t="inlineStr">
        <is>
          <t>60 consecutive years of dividend increases; acquired Costa Coffee ($4.9B, 2019), Fairlife (2020), and BodyArmor ($5.6B, 2021) while pruning 200+ zombie brands.</t>
        </is>
      </c>
      <c r="I36" s="8" t="inlineStr">
        <is>
          <t>CEO James Quincey's incentives tied to organic revenue growth, operating margin expansion, and free cash flow conversion.</t>
        </is>
      </c>
      <c r="J36" s="8" t="inlineStr">
        <is>
          <t>Unmatched global beverage distribution (2.2B servings/day across 200+ countries) delivered +11% price/mix pass-through in 2022.</t>
        </is>
      </c>
      <c r="K36" s="8" t="inlineStr">
        <is>
          <t>SASB Materiality: 'World Without Waste' (100% packaging collection goal) and 100%+ water replenishment in water-stressed regions.</t>
        </is>
      </c>
      <c r="L36" s="28">
        <f>HYPERLINK("https://www.digrin.com/stocks/detail/KO/price", "10-K &amp; Price (KO)")</f>
        <v/>
      </c>
    </row>
    <row r="37" ht="64" customHeight="1">
      <c r="A37" s="4" t="inlineStr">
        <is>
          <t>PEP</t>
        </is>
      </c>
      <c r="B37" s="11" t="inlineStr">
        <is>
          <t>PepsiCo, Inc.
(Consumer Staples | New Stock (CS +2))</t>
        </is>
      </c>
      <c r="C37" s="11" t="inlineStr">
        <is>
          <t>Tier 2: Snack-Plus-Beverage Quality Defensive Leader</t>
        </is>
      </c>
      <c r="D37" s="5" t="inlineStr">
        <is>
          <t>OCF/NI = 1.21x ($10.8B OCF in FY2022); negative working capital from rapid grocery/convenience inventory turns.</t>
        </is>
      </c>
      <c r="E37" s="5" t="inlineStr">
        <is>
          <t>ROIC 17.8% vs WACC 6.1% (Spread +11.7%); Frito-Lay North America generates &gt;28% operating margin and &gt;35% ROIC.</t>
        </is>
      </c>
      <c r="F37" s="5" t="inlineStr">
        <is>
          <t>ADV &gt;$800M/day; Bid-Ask 1 bp; lowest return volatility (15.27%/yr) of all 31 stocks.</t>
        </is>
      </c>
      <c r="G37" s="5" t="inlineStr">
        <is>
          <t>Downside Beta 0.32, MDD -15.47% (second-lowest stock drawdown after JNJ!), Sharpe 0.74; A+ rating, Interest Cov &gt;14x.</t>
        </is>
      </c>
      <c r="H37" s="5" t="inlineStr">
        <is>
          <t>50 consecutive years of dividend increases (achieved Dividend King status in 2022); acquired SodaStream ($3.2B, 2018) and Rockstar Energy ($3.85B, 2020).</t>
        </is>
      </c>
      <c r="I37" s="5" t="inlineStr">
        <is>
          <t>CEO Ramon Laguarta's 'Faster, Stronger, Better' KPIs link executive pay to organic revenue, core constant-currency EPS, and FCF conversion.</t>
        </is>
      </c>
      <c r="J37" s="5" t="inlineStr">
        <is>
          <t>Dominant salty-snack shelf space (Lay's, Doritos, Cheetos &gt;60% US market share) allowed +14% organic price/mix realization in FY2022.</t>
        </is>
      </c>
      <c r="K37" s="5" t="inlineStr">
        <is>
          <t>SASB Materiality: 'pep+ (PepsiCo Positive)' regenerative agriculture, water-use efficiency, and reduced-sugar/sodium portfolio reformulation.</t>
        </is>
      </c>
      <c r="L37" s="23">
        <f>HYPERLINK("https://www.digrin.com/stocks/detail/PEP/price", "10-K &amp; Price (PEP)")</f>
        <v/>
      </c>
    </row>
    <row r="38" ht="64" customHeight="1">
      <c r="A38" s="7" t="inlineStr">
        <is>
          <t>WMT</t>
        </is>
      </c>
      <c r="B38" s="9" t="inlineStr">
        <is>
          <t>Walmart Inc.
(Consumer Staples | New Stock (CS +3))</t>
        </is>
      </c>
      <c r="C38" s="9" t="inlineStr">
        <is>
          <t>Tier 2: Counter-Cyclical Trade-Down Hedge &amp; Negative Downside Beta</t>
        </is>
      </c>
      <c r="D38" s="8" t="inlineStr">
        <is>
          <t>OCF/NI = 1.45x ($28.8B OCF in FY2022); everyday-low-price (EDLP) model turns inventory &gt;8.5x/yr.</t>
        </is>
      </c>
      <c r="E38" s="8" t="inlineStr">
        <is>
          <t>ROIC 13.4% vs WACC 5.9% (Spread +7.5%); high-margin Walmart Connect digital ad network and 3P marketplace began inflection in 2021-2022.</t>
        </is>
      </c>
      <c r="F38" s="8" t="inlineStr">
        <is>
          <t>ADV &gt;$1.2B/day; Bid-Ask 1 bp; ~47% Walton family ownership provides multi-generational long-term alignment (3-for-1 split in Feb 2024).</t>
        </is>
      </c>
      <c r="G38" s="8" t="inlineStr">
        <is>
          <t>NEGATIVE Downside Beta (-0.35 vs VTI!), Market Beta 0.53, MCTR 9.81%, OOS 2023-2025 CAGR +34.71%/yr; AA credit rating, Interest Cov &gt;13x.</t>
        </is>
      </c>
      <c r="H38" s="8" t="inlineStr">
        <is>
          <t>Boldly invested $25B+ (2016-2022) in e-commerce, curbside pickup across 4,700 US stores (90% of US population within 10 miles), and Flipkart (2018).</t>
        </is>
      </c>
      <c r="I38" s="8" t="inlineStr">
        <is>
          <t>Executive LTIP explicitly weights Return on Investment (ROI) alongside operating income and omnichannel sales.</t>
        </is>
      </c>
      <c r="J38" s="8" t="inlineStr">
        <is>
          <t>#1 US grocer (&gt;25% market share) acts as the ultimate consumer trade-down beneficiary during inflation/recession; Caveat: Q1 2022 general-merchandise inventory glut was cleared within 2 quarters.</t>
        </is>
      </c>
      <c r="K38" s="8" t="inlineStr">
        <is>
          <t>SASB Materiality: Project Gigaton (1B metric tons supply-chain emissions reduction) and front-line retail wage increases ($15+/hr avg by 2021).</t>
        </is>
      </c>
      <c r="L38" s="28">
        <f>HYPERLINK("https://www.digrin.com/stocks/detail/WMT/price", "10-K &amp; Price (WMT)")</f>
        <v/>
      </c>
    </row>
    <row r="39" ht="64" customHeight="1">
      <c r="A39" s="4" t="inlineStr">
        <is>
          <t>CVX</t>
        </is>
      </c>
      <c r="B39" s="11" t="inlineStr">
        <is>
          <t>Chevron Corp.
(Energy | New Stock (EN +1))</t>
        </is>
      </c>
      <c r="C39" s="11" t="inlineStr">
        <is>
          <t>Tier 2/3: Fortress-Balance-Sheet Integrated Energy &amp; Inflation Hedge</t>
        </is>
      </c>
      <c r="D39" s="5" t="inlineStr">
        <is>
          <t>OCF/NI = 1.40x ($49.6B OCF and $37.6B FCF in FY2022); superior cash-flow stability vs XOM during 2015-2020.</t>
        </is>
      </c>
      <c r="E39" s="5" t="inlineStr">
        <is>
          <t>2015-2022 CAGR 10.74%/yr (beat XOM by +369 bps/yr!) with ROCE &gt;20% in 2022 and lower capital intensity after Gorgon/Wheatstone LNG completion.</t>
        </is>
      </c>
      <c r="F39" s="5" t="inlineStr">
        <is>
          <t>ADV &gt;$1.5B/day; Bid-Ask 1 bp; Berkshire Hathaway accumulated a major ~8% stake in 2020-2022.</t>
        </is>
      </c>
      <c r="G39" s="5" t="inlineStr">
        <is>
          <t>Downside Beta 1.20, HML Beta +0.98, MDD -40.66% (17% shallower drawdown than XOM!); AA- rating with Net Debt-to-Capital &lt;10%.</t>
        </is>
      </c>
      <c r="H39" s="5" t="inlineStr">
        <is>
          <t>Demonstrated superior M&amp;A discipline by walking away from Anadarko in 2019 (pocketing a $1B breakup fee) and buying Noble Energy at the bottom of the 2020 downturn.</t>
        </is>
      </c>
      <c r="I39" s="5" t="inlineStr">
        <is>
          <t>CEO Mike Wirth's compensation explicitly anchored to ROCE, relative TSR, and upstream carbon-intensity reduction metrics.</t>
        </is>
      </c>
      <c r="J39" s="5" t="inlineStr">
        <is>
          <t>Advantaged Permian Basin fee-mineral acreage (zero royalty payments on millions of legacy acres) provides the lowest upstream unit cost among supermajors.</t>
        </is>
      </c>
      <c r="K39" s="5" t="inlineStr">
        <is>
          <t>SASB Materiality: $10B lower-carbon capex commitment (renewable fuels, Renewable Energy Group acquisition in 2022, carbon capture).</t>
        </is>
      </c>
      <c r="L39" s="23">
        <f>HYPERLINK("https://www.digrin.com/stocks/detail/CVX/price", "10-K &amp; Price (CVX)")</f>
        <v/>
      </c>
    </row>
    <row r="40" ht="64" customHeight="1">
      <c r="A40" s="7" t="inlineStr">
        <is>
          <t>COP</t>
        </is>
      </c>
      <c r="B40" s="9" t="inlineStr">
        <is>
          <t>ConocoPhillips
(Energy | New Stock (EN +2))</t>
        </is>
      </c>
      <c r="C40" s="9" t="inlineStr">
        <is>
          <t>Tier 3: Pure-Play Upstream E&amp;P &amp; Variable Cash-Return Leader</t>
        </is>
      </c>
      <c r="D40" s="8" t="inlineStr">
        <is>
          <t>OCF/NI = 1.52x ($28.3B OCF in FY2022); pure-play E&amp;P cash machine with zero low-margin downstream refining drag.</t>
        </is>
      </c>
      <c r="E40" s="8" t="inlineStr">
        <is>
          <t>ROIC &gt;27% in 2022; high-graded portfolio by selling high-cost Canadian oil sands and UK North Sea assets (2016-2019) to focus on &lt;$30/bbl cost-of-supply basins.</t>
        </is>
      </c>
      <c r="F40" s="8" t="inlineStr">
        <is>
          <t>ADV &gt;$1.0B/day; Bid-Ask 1 bp; liquid pure-play upstream inflation proxy.</t>
        </is>
      </c>
      <c r="G40" s="8" t="inlineStr">
        <is>
          <t>Downside Beta 1.36, HML Beta +1.49 (p&lt;0.001), Vol 39.77%, MDD -60.51%; A- credit rating with $9.5B cash reserve.</t>
        </is>
      </c>
      <c r="H40" s="8" t="inlineStr">
        <is>
          <t>Acquired Concho Resources ($9.7B all-stock at the Oct 2020 cycle trough) and Shell's Permian assets ($9.5B cash in late 2021)—two of the most accretive energy deals of the decade.</t>
        </is>
      </c>
      <c r="I40" s="8" t="inlineStr">
        <is>
          <t>Pioneered transparent Variable Return of Cash (VROC) framework returning &gt;30% of gross OCF to shareholders across the cycle.</t>
        </is>
      </c>
      <c r="J40" s="8" t="inlineStr">
        <is>
          <t>100% unhedged exposure to Brent/WTI crude and global LNG pricing provides maximum torque to unexpected energy inflation shocks.</t>
        </is>
      </c>
      <c r="K40" s="8" t="inlineStr">
        <is>
          <t>SASB Materiality: Paris-aligned operational Scope 1 &amp; 2 net-zero ambition by 2050 and Zero Routine Flaring by 2025.</t>
        </is>
      </c>
      <c r="L40" s="28">
        <f>HYPERLINK("https://www.digrin.com/stocks/detail/COP/price", "10-K &amp; Price (COP)")</f>
        <v/>
      </c>
    </row>
    <row r="41" ht="64" customHeight="1">
      <c r="A41" s="4" t="inlineStr">
        <is>
          <t>SLB</t>
        </is>
      </c>
      <c r="B41" s="11" t="inlineStr">
        <is>
          <t>SLB (formerly Schlumberger)
(Energy | New Stock (EN +3))</t>
        </is>
      </c>
      <c r="C41" s="11" t="inlineStr">
        <is>
          <t>Tier 3: Global Oilfield Services &amp; Capex Cycle Diagnostic</t>
        </is>
      </c>
      <c r="D41" s="5" t="inlineStr">
        <is>
          <t>OCF averaged $3.5B-$5.0B (2015-2022), but GAAP Net Income suffered -$10.1B (2019) and -$10.5B (2020) losses due to massive goodwill/asset impairments.</t>
        </is>
      </c>
      <c r="E41" s="5" t="inlineStr">
        <is>
          <t>ROIC fell below WACC during 2016-2020 before recovering to ~13% in 2022 under an asset-light restructuring.</t>
        </is>
      </c>
      <c r="F41" s="5" t="inlineStr">
        <is>
          <t>ADV &gt;$650M/day; Bid-Ask 2 bps; high cyclical beta (Market Beta 1.52, HML Beta +1.78).</t>
        </is>
      </c>
      <c r="G41" s="5" t="inlineStr">
        <is>
          <t>Downside Beta 1.92 (highest in 39-ticker universe), Vol 43.65%, MDD -82.98%, CAGR -2.88%/yr (2015-2022); BBB+/A- rating after 75% dividend cut in April 2020.</t>
        </is>
      </c>
      <c r="H41" s="5" t="inlineStr">
        <is>
          <t>Cautionary Capital Allocation Case Study: 2016 Cameron International acquisition ($14.8B) at cycle-high valuations led to multi-billion-dollar goodwill writedowns in 2019-2020.</t>
        </is>
      </c>
      <c r="I41" s="5" t="inlineStr">
        <is>
          <t>New CEO Olivier Le Peuch (appointed Aug 2019) overhauled incentives toward FCF margin, digital software adoption, and debt deleveraging.</t>
        </is>
      </c>
      <c r="J41" s="5" t="inlineStr">
        <is>
          <t>#1 global offshore &amp; international oilfield technology leader (&gt;75% non-US revenue), giving strong pricing power only when national oil companies expand offshore capex.</t>
        </is>
      </c>
      <c r="K41" s="5" t="inlineStr">
        <is>
          <t>SASB Materiality: rebranded from Schlumberger to SLB in Oct 2022 to focus on digital reservoir efficiency, methane monitoring, and geothermal/CCS technology.</t>
        </is>
      </c>
      <c r="L41" s="23">
        <f>HYPERLINK("https://www.digrin.com/stocks/detail/SLB/price", "10-K &amp; Price (SLB)")</f>
        <v/>
      </c>
    </row>
    <row r="42" ht="64" customHeight="1">
      <c r="A42" s="7" t="inlineStr">
        <is>
          <t>MCD</t>
        </is>
      </c>
      <c r="B42" s="9" t="inlineStr">
        <is>
          <t>McDonald's Corp.
(Consumer Discretionary | New Stock (CD +1))</t>
        </is>
      </c>
      <c r="C42" s="9" t="inlineStr">
        <is>
          <t>Tier 2/3: Franchise Real-Estate Toll-Road &amp; Defensive Discretionary</t>
        </is>
      </c>
      <c r="D42" s="8" t="inlineStr">
        <is>
          <t>OCF/NI = 1.20x ($7.4B OCF in FY2022); franchise royalties and real-estate rent generate &gt;43% operating margins and &gt;85% FCF conversion.</t>
        </is>
      </c>
      <c r="E42" s="8" t="inlineStr">
        <is>
          <t>ROIC &gt;22.0% vs WACC 6.4% (Spread +15.6%) after refranchising 4,000+ company-owned stores between 2015 and 2019.</t>
        </is>
      </c>
      <c r="F42" s="8" t="inlineStr">
        <is>
          <t>ADV &gt;$900M/day; Bid-Ask 1 bp; behaves like a low-volatility Consumer Staple inside the Discretionary sector.</t>
        </is>
      </c>
      <c r="G42" s="8" t="inlineStr">
        <is>
          <t>Downside Beta 0.67, Vol 17.54% (lowest in Discretionary!), Sharpe 0.93, MDD -23.18%, FF3 Alpha +9.07%/yr (p=0.0653); BBB+ rating, Interest Cov &gt;7.5x.</t>
        </is>
      </c>
      <c r="H42" s="8" t="inlineStr">
        <is>
          <t>46 consecutive years of dividend increases + $35B+ buybacks (2015-2022); exited Russia (~850 stores, $1.2B write-off in May 2022) swiftly to protect global brand integrity.</t>
        </is>
      </c>
      <c r="I42" s="8" t="inlineStr">
        <is>
          <t>CEO Chris Kempczinski's 'Accelerating the Arches' incentives tied to systemwide sales, operating margin, and digital loyalty adoption.</t>
        </is>
      </c>
      <c r="J42" s="8" t="inlineStr">
        <is>
          <t>Owns the underlying land/buildings for ~55%/80% of its 40,000+ global restaurants, collecting minimum base rent + 4%-5% of gross nominal sales (built-in inflation &amp; recession hedge).</t>
        </is>
      </c>
      <c r="K42" s="8" t="inlineStr">
        <is>
          <t>SASB Materiality: antibiotic-free poultry, sustainable beef sourcing, and franchisee labor standards.</t>
        </is>
      </c>
      <c r="L42" s="28">
        <f>HYPERLINK("https://www.digrin.com/stocks/detail/MCD/price", "10-K &amp; Price (MCD)")</f>
        <v/>
      </c>
    </row>
    <row r="43" ht="64" customHeight="1">
      <c r="A43" s="4" t="inlineStr">
        <is>
          <t>NKE</t>
        </is>
      </c>
      <c r="B43" s="11" t="inlineStr">
        <is>
          <t>NIKE, Inc.
(Consumer Discretionary | New Stock (CD +2))</t>
        </is>
      </c>
      <c r="C43" s="11" t="inlineStr">
        <is>
          <t>Tier 3: Global Athletic Brand &amp; Direct-to-Consumer Growth</t>
        </is>
      </c>
      <c r="D43" s="5" t="inlineStr">
        <is>
          <t>OCF averaged $5.0B-$6.7B (2015-2021), but dropped in FY2022 as supply-chain transit delays and factory restarts bloated inventory by +44% ($9.7B).</t>
        </is>
      </c>
      <c r="E43" s="5" t="inlineStr">
        <is>
          <t>ROIC averaged 26.4% (2015-2021) vs WACC 7.8% before inventory markdowns compressed FY2022-2023 margins.</t>
        </is>
      </c>
      <c r="F43" s="5" t="inlineStr">
        <is>
          <t>ADV &gt;$1.1B/day; Bid-Ask 1 bp; dual-class share structure (Knight family Class A super-voting shares).</t>
        </is>
      </c>
      <c r="G43" s="5" t="inlineStr">
        <is>
          <t>Downside Beta 0.87, Market Beta 0.99, MDD -50.42% (2022 inventory/China reset) and -16.88%/yr OOS (2023-2025); AA- balance sheet ($10.7B cash vs $9.4B debt).</t>
        </is>
      </c>
      <c r="H43" s="5" t="inlineStr">
        <is>
          <t>21 consecutive years of dividend increases; 'Consumer Direct Acceleration' shifted sales toward NIKE Direct and SNKRS app (&gt;42% of brand revenue by 2022).</t>
        </is>
      </c>
      <c r="I43" s="5" t="inlineStr">
        <is>
          <t>Strategic error in 2020-2022 under CEO John Donahoe: cutting too many wholesale retail partners (Foot Locker, Macy's, DSW) left shelf space open for emerging competitors (On, Hoka).</t>
        </is>
      </c>
      <c r="J43" s="5" t="inlineStr">
        <is>
          <t>Global athletic footwear leader, but &gt;95% of footwear is manufactured in Vietnam, Indonesia, and China (exposed to 2021 Vietnam COVID factory shutdowns) and &gt;17% of EBIT comes from Greater China.</t>
        </is>
      </c>
      <c r="K43" s="5" t="inlineStr">
        <is>
          <t>SASB Materiality: supply-chain labor auditing (FLA) and Xinjiang cotton geopolitical consumer boycotts in China (2021).</t>
        </is>
      </c>
      <c r="L43" s="23">
        <f>HYPERLINK("https://www.digrin.com/stocks/detail/NKE/price", "10-K &amp; Price (NKE)")</f>
        <v/>
      </c>
    </row>
    <row r="44" ht="64" customHeight="1">
      <c r="A44" s="7" t="inlineStr">
        <is>
          <t>SBUX</t>
        </is>
      </c>
      <c r="B44" s="9" t="inlineStr">
        <is>
          <t>Starbucks Corp.
(Consumer Discretionary | New Stock (CD +3))</t>
        </is>
      </c>
      <c r="C44" s="9" t="inlineStr">
        <is>
          <t>Tier 3: Global Beverage Habit &amp; Negative-Working-Capital Float</t>
        </is>
      </c>
      <c r="D44" s="8" t="inlineStr">
        <is>
          <t>OCF/NI = 1.25x ($4.4B OCF in FY2022); aided by ~$1.6B of unredeemed Starbucks Card / Mobile App customer balances (0%-interest working capital float).</t>
        </is>
      </c>
      <c r="E44" s="8" t="inlineStr">
        <is>
          <t>ROIC &gt;29.0% vs WACC 7.4%; company-operated US/China stores generate &gt;50% cash-on-cash Year-1 returns on new drive-thru builds.</t>
        </is>
      </c>
      <c r="F44" s="8" t="inlineStr">
        <is>
          <t>ADV &gt;$850M/day; Bid-Ask 1 bp; high institutional liquidity.</t>
        </is>
      </c>
      <c r="G44" s="8" t="inlineStr">
        <is>
          <t>Downside Beta 0.92, MDD -37.71%, CAGR 13.75%/yr, Sharpe 0.63; BBB+ rating (leveraged recapitalization in 2018-2019 pushed book equity negative, though Interest Cov remained &gt;8x).</t>
        </is>
      </c>
      <c r="H44" s="8" t="inlineStr">
        <is>
          <t>Licensed packaged-coffee rights to Nestlé for $7.15B upfront cash in 2018 and returned $25B to shareholders; suspended buybacks in April 2022 when Howard Schultz returned as interim CEO to reinvest in stores/staff.</t>
        </is>
      </c>
      <c r="I44" s="8" t="inlineStr">
        <is>
          <t>Governance Case Study: 2018-2019 debt-funded buybacks at high multiples reduced balance-sheet flexibility entering the 2020 pandemic.</t>
        </is>
      </c>
      <c r="J44" s="8" t="inlineStr">
        <is>
          <t>28M+ active US Rewards members (55% of US sales) and customizable cold espresso/refresher beverages provide strong ticket pricing power; &gt;6,000 stores in China created 2022 zero-COVID earnings volatility.</t>
        </is>
      </c>
      <c r="K44" s="8" t="inlineStr">
        <is>
          <t>SASB Materiality: 2021-2022 US barista unionization campaigns (Workers United) created campus student-activist headline risk requiring Board engagement.</t>
        </is>
      </c>
      <c r="L44" s="28">
        <f>HYPERLINK("https://www.digrin.com/stocks/detail/SBUX/price", "10-K &amp; Price (SBUX)")</f>
        <v/>
      </c>
    </row>
    <row r="45" ht="64" customHeight="1">
      <c r="A45" s="4" t="inlineStr">
        <is>
          <t>DUK</t>
        </is>
      </c>
      <c r="B45" s="11" t="inlineStr">
        <is>
          <t>Duke Energy Corp.
(Utilities | New Stock (UT +1))</t>
        </is>
      </c>
      <c r="C45" s="11" t="inlineStr">
        <is>
          <t>Tier 2: Pure-Play Regulated Electric &amp; Gas Utility Ballast</t>
        </is>
      </c>
      <c r="D45" s="5" t="inlineStr">
        <is>
          <t>OCF $9.6B in FY2022; predictable regulated electric and gas rate-base cash flows across 8.2M customers.</t>
        </is>
      </c>
      <c r="E45" s="5" t="inlineStr">
        <is>
          <t>Allowed Regulated ROE ~9.6%-10.1% across Carolinas, Florida, and Midwest vs WACC ~5.5%; positive spread locked in by state PUCs.</t>
        </is>
      </c>
      <c r="F45" s="5" t="inlineStr">
        <is>
          <t>ADV &gt;$450M/day; Bid-Ask 1 bp; classic institutional bond-proxy utility.</t>
        </is>
      </c>
      <c r="G45" s="5" t="inlineStr">
        <is>
          <t>Market Beta 0.38 (lowest in 39-ticker universe alongside LLY!), MDD -18.81% (lowest in Utilities!), Vol 17.31%, Dividend Yield ~4.0%; BBB+ rating, $68B regulated debt, Interest Cov 3.4x.</t>
        </is>
      </c>
      <c r="H45" s="5" t="inlineStr">
        <is>
          <t>Acquired Piedmont Natural Gas ($4.9B, 2016); canceled Atlantic Coast Pipeline in 2020; announced sale of unregulated Commercial Renewables in 2022 to become a 100% pure-play regulated utility.</t>
        </is>
      </c>
      <c r="I45" s="5" t="inlineStr">
        <is>
          <t>CEO Lynn Good's incentives tied to regulated EPS, safety/reliability, and coal-ash remediation milestones.</t>
        </is>
      </c>
      <c r="J45" s="5" t="inlineStr">
        <is>
          <t>Multi-year rate cases and fuel-adjustment clauses pass inflation and grid-hardening capex ($65B 5-yr capital plan) through to ratepayers in high-inflow NC, SC, and FL.</t>
        </is>
      </c>
      <c r="K45" s="5" t="inlineStr">
        <is>
          <t>SASB Materiality: retired &gt;7.5 GW of coal plants (2015-2022) and settled NC coal-ash basin closure obligations; net-zero carbon goal by 2050.</t>
        </is>
      </c>
      <c r="L45" s="23">
        <f>HYPERLINK("https://www.digrin.com/stocks/detail/DUK/price", "10-K &amp; Price (DUK)")</f>
        <v/>
      </c>
    </row>
    <row r="46" ht="64" customHeight="1">
      <c r="A46" s="7" t="inlineStr">
        <is>
          <t>AEP</t>
        </is>
      </c>
      <c r="B46" s="9" t="inlineStr">
        <is>
          <t>American Electric Power Co.
(Utilities | New Stock (UT +2))</t>
        </is>
      </c>
      <c r="C46" s="9" t="inlineStr">
        <is>
          <t>Tier 2: High-Voltage Transmission Grid &amp; Regulated Utility</t>
        </is>
      </c>
      <c r="D46" s="8" t="inlineStr">
        <is>
          <t>OCF $5.8B in FY2022; 112+ consecutive years of dividend payments (~3.5% yield).</t>
        </is>
      </c>
      <c r="E46" s="8" t="inlineStr">
        <is>
          <t>Allowed ROE ~9.9% overall, with FERC-regulated high-voltage transmission assets earning ~10.3%-10.5% formula ROE.</t>
        </is>
      </c>
      <c r="F46" s="8" t="inlineStr">
        <is>
          <t>ADV &gt;$350M/day; Bid-Ask 1 bp; low R² (22.4%) offers strong diversification against tech/financials.</t>
        </is>
      </c>
      <c r="G46" s="8" t="inlineStr">
        <is>
          <t>Market Beta 0.42, MDD -25.15%, CAGR 9.47%/yr (2015-2022) and +10.83%/yr OOS (2023-2025); BBB+/A- rating, Interest Cov 3.5x.</t>
        </is>
      </c>
      <c r="H46" s="8" t="inlineStr">
        <is>
          <t>Sold competitive merchant generation fleet in 2016-2017 to redeploy $38B+ into regulated transmission and renewables.</t>
        </is>
      </c>
      <c r="I46" s="8" t="inlineStr">
        <is>
          <t>Executive LTIP tied 50% to 3-year operating EPS, 25% to relative TSR, and 25% to clean-energy capacity additions.</t>
        </is>
      </c>
      <c r="J46" s="8" t="inlineStr">
        <is>
          <t>Owns America's largest electricity transmission network (40,000+ miles across 11 states in PJM, ERCOT, SPP) with automatic FERC formula-rate capex recovery.</t>
        </is>
      </c>
      <c r="K46" s="8" t="inlineStr">
        <is>
          <t>SASB Materiality: 80% CO2 reduction target by 2030 (from 2000 baseline) via coal plant retirements and North Central Wind projects.</t>
        </is>
      </c>
      <c r="L46" s="28">
        <f>HYPERLINK("https://www.digrin.com/stocks/detail/AEP/price", "10-K &amp; Price (AEP)")</f>
        <v/>
      </c>
    </row>
    <row r="47" ht="64" customHeight="1">
      <c r="A47" s="4" t="inlineStr">
        <is>
          <t>SO</t>
        </is>
      </c>
      <c r="B47" s="11" t="inlineStr">
        <is>
          <t>The Southern Company
(Utilities | New Stock (UT +3))</t>
        </is>
      </c>
      <c r="C47" s="11" t="inlineStr">
        <is>
          <t>Tier 2: Southeast Regulated Utility &amp; Baseload Nuclear Anchor</t>
        </is>
      </c>
      <c r="D47" s="5" t="inlineStr">
        <is>
          <t>OCF $7.4B in FY2022; 21 consecutive years of dividend increases (~3.9% yield) and 75+ years without a dividend cut.</t>
        </is>
      </c>
      <c r="E47" s="5" t="inlineStr">
        <is>
          <t>Constructive Southeast regulatory ROE (~10.5% in Georgia Power) supports above-average rate-base returns once Vogtle capex drag ended.</t>
        </is>
      </c>
      <c r="F47" s="5" t="inlineStr">
        <is>
          <t>ADV &gt;$420M/day; Bid-Ask 1 bp; outperformed NEE in 2022-2025 (+10.85%/yr OOS CAGR vs NEE's +1.57%/yr).</t>
        </is>
      </c>
      <c r="G47" s="5" t="inlineStr">
        <is>
          <t>Market Beta 0.44, HML Beta +0.12 (positive value tilt vs NEE's -0.46), MDD -24.80%, Sharpe 0.55; BBB+ credit rating, Interest Cov 3.6x.</t>
        </is>
      </c>
      <c r="H47" s="5" t="inlineStr">
        <is>
          <t>Acquired AGL Resources ($12B, 2016) to add regulated gas distribution and sold Gulf Power to NEE ($6.4B, 2019) to fund equity needs.</t>
        </is>
      </c>
      <c r="I47" s="5" t="inlineStr">
        <is>
          <t>Board implemented strict Vogtle project-completion penalties on executive bonuses during 2017-2022 construction delays.</t>
        </is>
      </c>
      <c r="J47" s="5" t="inlineStr">
        <is>
          <t>9M regulated customers across Georgia, Alabama, and Mississippi; Georgia's industrial/data-center boom drives strong load growth.</t>
        </is>
      </c>
      <c r="K47" s="5" t="inlineStr">
        <is>
          <t>SASB Materiality: completed Plant Vogtle Units 3 &amp; 4 (2.2 GW of 24/7 zero-carbon nuclear baseload power operating for 60-80 years).</t>
        </is>
      </c>
      <c r="L47" s="23">
        <f>HYPERLINK("https://www.digrin.com/stocks/detail/SO/price", "10-K &amp; Price (SO)")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 ht="26" customHeight="1">
      <c r="A1" s="1" t="inlineStr">
        <is>
          <t>VERIFIED RAW ADJUSTED CLOSE PRICES (133 MONTHS: DEC 2014 – DEC 2025) – PULLED FROM YAHOO FINANCE &amp; DIGRIN / TOTALREALRETURNS</t>
        </is>
      </c>
    </row>
    <row r="2" ht="20" customHeight="1">
      <c r="A2" s="63" t="inlineStr">
        <is>
          <t>Source 1 (Yahoo):</t>
        </is>
      </c>
      <c r="B2" s="64">
        <f>HYPERLINK("https://finance.yahoo.com/quote/HD/history", "Yahoo (HD)")</f>
        <v/>
      </c>
      <c r="C2" s="64">
        <f>HYPERLINK("https://finance.yahoo.com/quote/JNJ/history", "Yahoo (JNJ)")</f>
        <v/>
      </c>
      <c r="D2" s="64">
        <f>HYPERLINK("https://finance.yahoo.com/quote/JPM/history", "Yahoo (JPM)")</f>
        <v/>
      </c>
      <c r="E2" s="64">
        <f>HYPERLINK("https://finance.yahoo.com/quote/MSFT/history", "Yahoo (MSFT)")</f>
        <v/>
      </c>
      <c r="F2" s="64">
        <f>HYPERLINK("https://finance.yahoo.com/quote/NEE/history", "Yahoo (NEE)")</f>
        <v/>
      </c>
      <c r="G2" s="64">
        <f>HYPERLINK("https://finance.yahoo.com/quote/PG/history", "Yahoo (PG)")</f>
        <v/>
      </c>
      <c r="H2" s="64">
        <f>HYPERLINK("https://finance.yahoo.com/quote/UNH/history", "Yahoo (UNH)")</f>
        <v/>
      </c>
      <c r="I2" s="64">
        <f>HYPERLINK("https://finance.yahoo.com/quote/USMV/history", "Yahoo (USMV)")</f>
        <v/>
      </c>
      <c r="J2" s="64">
        <f>HYPERLINK("https://finance.yahoo.com/quote/VTI/history", "Yahoo (VTI)")</f>
        <v/>
      </c>
      <c r="K2" s="64">
        <f>HYPERLINK("https://finance.yahoo.com/quote/XOM/history", "Yahoo (XOM)")</f>
        <v/>
      </c>
      <c r="L2" s="64">
        <f>HYPERLINK("https://finance.yahoo.com/quote/VTV/history", "Yahoo (VTV)")</f>
        <v/>
      </c>
      <c r="M2" s="64">
        <f>HYPERLINK("https://finance.yahoo.com/quote/SCHD/history", "Yahoo (SCHD)")</f>
        <v/>
      </c>
      <c r="N2" s="64">
        <f>HYPERLINK("https://finance.yahoo.com/quote/RSP/history", "Yahoo (RSP)")</f>
        <v/>
      </c>
      <c r="O2" s="64">
        <f>HYPERLINK("https://finance.yahoo.com/quote/QQQ/history", "Yahoo (QQQ)")</f>
        <v/>
      </c>
      <c r="P2" s="64">
        <f>HYPERLINK("https://finance.yahoo.com/quote/VUG/history", "Yahoo (VUG)")</f>
        <v/>
      </c>
      <c r="Q2" s="64">
        <f>HYPERLINK("https://finance.yahoo.com/quote/SPY/history", "Yahoo (SPY)")</f>
        <v/>
      </c>
      <c r="R2" s="64">
        <f>HYPERLINK("https://finance.yahoo.com/quote/AAPL/history", "Yahoo (AAPL)")</f>
        <v/>
      </c>
      <c r="S2" s="64">
        <f>HYPERLINK("https://finance.yahoo.com/quote/CSCO/history", "Yahoo (CSCO)")</f>
        <v/>
      </c>
      <c r="T2" s="64">
        <f>HYPERLINK("https://finance.yahoo.com/quote/TXN/history", "Yahoo (TXN)")</f>
        <v/>
      </c>
      <c r="U2" s="64">
        <f>HYPERLINK("https://finance.yahoo.com/quote/NVDA/history", "Yahoo (NVDA)")</f>
        <v/>
      </c>
      <c r="V2" s="64">
        <f>HYPERLINK("https://finance.yahoo.com/quote/PFE/history", "Yahoo (PFE)")</f>
        <v/>
      </c>
      <c r="W2" s="64">
        <f>HYPERLINK("https://finance.yahoo.com/quote/ABT/history", "Yahoo (ABT)")</f>
        <v/>
      </c>
      <c r="X2" s="64">
        <f>HYPERLINK("https://finance.yahoo.com/quote/MRK/history", "Yahoo (MRK)")</f>
        <v/>
      </c>
      <c r="Y2" s="64">
        <f>HYPERLINK("https://finance.yahoo.com/quote/LLY/history", "Yahoo (LLY)")</f>
        <v/>
      </c>
      <c r="Z2" s="64">
        <f>HYPERLINK("https://finance.yahoo.com/quote/BAC/history", "Yahoo (BAC)")</f>
        <v/>
      </c>
      <c r="AA2" s="64">
        <f>HYPERLINK("https://finance.yahoo.com/quote/BLK/history", "Yahoo (BLK)")</f>
        <v/>
      </c>
      <c r="AB2" s="64">
        <f>HYPERLINK("https://finance.yahoo.com/quote/AXP/history", "Yahoo (AXP)")</f>
        <v/>
      </c>
      <c r="AC2" s="64">
        <f>HYPERLINK("https://finance.yahoo.com/quote/KO/history", "Yahoo (KO)")</f>
        <v/>
      </c>
      <c r="AD2" s="64">
        <f>HYPERLINK("https://finance.yahoo.com/quote/PEP/history", "Yahoo (PEP)")</f>
        <v/>
      </c>
      <c r="AE2" s="64">
        <f>HYPERLINK("https://finance.yahoo.com/quote/WMT/history", "Yahoo (WMT)")</f>
        <v/>
      </c>
      <c r="AF2" s="64">
        <f>HYPERLINK("https://finance.yahoo.com/quote/CVX/history", "Yahoo (CVX)")</f>
        <v/>
      </c>
      <c r="AG2" s="64">
        <f>HYPERLINK("https://finance.yahoo.com/quote/COP/history", "Yahoo (COP)")</f>
        <v/>
      </c>
      <c r="AH2" s="64">
        <f>HYPERLINK("https://finance.yahoo.com/quote/SLB/history", "Yahoo (SLB)")</f>
        <v/>
      </c>
      <c r="AI2" s="64">
        <f>HYPERLINK("https://finance.yahoo.com/quote/MCD/history", "Yahoo (MCD)")</f>
        <v/>
      </c>
      <c r="AJ2" s="64">
        <f>HYPERLINK("https://finance.yahoo.com/quote/NKE/history", "Yahoo (NKE)")</f>
        <v/>
      </c>
      <c r="AK2" s="64">
        <f>HYPERLINK("https://finance.yahoo.com/quote/SBUX/history", "Yahoo (SBUX)")</f>
        <v/>
      </c>
      <c r="AL2" s="64">
        <f>HYPERLINK("https://finance.yahoo.com/quote/DUK/history", "Yahoo (DUK)")</f>
        <v/>
      </c>
      <c r="AM2" s="64">
        <f>HYPERLINK("https://finance.yahoo.com/quote/AEP/history", "Yahoo (AEP)")</f>
        <v/>
      </c>
      <c r="AN2" s="64">
        <f>HYPERLINK("https://finance.yahoo.com/quote/SO/history", "Yahoo (SO)")</f>
        <v/>
      </c>
    </row>
    <row r="3" ht="20" customHeight="1">
      <c r="A3" s="63" t="inlineStr">
        <is>
          <t>Source 2 (Digrin):</t>
        </is>
      </c>
      <c r="B3" s="64">
        <f>HYPERLINK("https://www.digrin.com/stocks/detail/HD/price", "Digrin (HD)")</f>
        <v/>
      </c>
      <c r="C3" s="64">
        <f>HYPERLINK("https://www.digrin.com/stocks/detail/JNJ/price", "Digrin (JNJ)")</f>
        <v/>
      </c>
      <c r="D3" s="64">
        <f>HYPERLINK("https://www.digrin.com/stocks/detail/JPM/price", "Digrin (JPM)")</f>
        <v/>
      </c>
      <c r="E3" s="64">
        <f>HYPERLINK("https://www.digrin.com/stocks/detail/MSFT/price", "Digrin (MSFT)")</f>
        <v/>
      </c>
      <c r="F3" s="64">
        <f>HYPERLINK("https://www.digrin.com/stocks/detail/NEE/price", "Digrin (NEE)")</f>
        <v/>
      </c>
      <c r="G3" s="64">
        <f>HYPERLINK("https://www.digrin.com/stocks/detail/PG/price", "Digrin (PG)")</f>
        <v/>
      </c>
      <c r="H3" s="64">
        <f>HYPERLINK("https://www.digrin.com/stocks/detail/UNH/price", "Digrin (UNH)")</f>
        <v/>
      </c>
      <c r="I3" s="64">
        <f>HYPERLINK("https://totalrealreturns.com/n/USMV", "Digrin (USMV)")</f>
        <v/>
      </c>
      <c r="J3" s="64">
        <f>HYPERLINK("https://www.digrin.com/stocks/detail/VTI/price", "Digrin (VTI)")</f>
        <v/>
      </c>
      <c r="K3" s="64">
        <f>HYPERLINK("https://www.digrin.com/stocks/detail/XOM/price", "Digrin (XOM)")</f>
        <v/>
      </c>
      <c r="L3" s="64">
        <f>HYPERLINK("https://www.digrin.com/stocks/detail/VTV/price", "Digrin (VTV)")</f>
        <v/>
      </c>
      <c r="M3" s="64">
        <f>HYPERLINK("https://www.digrin.com/stocks/detail/SCHD/price", "Digrin (SCHD)")</f>
        <v/>
      </c>
      <c r="N3" s="64">
        <f>HYPERLINK("https://www.digrin.com/stocks/detail/RSP/price", "Digrin (RSP)")</f>
        <v/>
      </c>
      <c r="O3" s="64">
        <f>HYPERLINK("https://www.digrin.com/stocks/detail/QQQ/price", "Digrin (QQQ)")</f>
        <v/>
      </c>
      <c r="P3" s="64">
        <f>HYPERLINK("https://www.digrin.com/stocks/detail/VUG/price", "Digrin (VUG)")</f>
        <v/>
      </c>
      <c r="Q3" s="64">
        <f>HYPERLINK("https://www.digrin.com/stocks/detail/SPY/price", "Digrin (SPY)")</f>
        <v/>
      </c>
      <c r="R3" s="64">
        <f>HYPERLINK("https://www.digrin.com/stocks/detail/AAPL/price", "Digrin (AAPL)")</f>
        <v/>
      </c>
      <c r="S3" s="64">
        <f>HYPERLINK("https://www.digrin.com/stocks/detail/CSCO/price", "Digrin (CSCO)")</f>
        <v/>
      </c>
      <c r="T3" s="64">
        <f>HYPERLINK("https://www.digrin.com/stocks/detail/TXN/price", "Digrin (TXN)")</f>
        <v/>
      </c>
      <c r="U3" s="64">
        <f>HYPERLINK("https://www.digrin.com/stocks/detail/NVDA/price", "Digrin (NVDA)")</f>
        <v/>
      </c>
      <c r="V3" s="64">
        <f>HYPERLINK("https://www.digrin.com/stocks/detail/PFE/price", "Digrin (PFE)")</f>
        <v/>
      </c>
      <c r="W3" s="64">
        <f>HYPERLINK("https://www.digrin.com/stocks/detail/ABT/price", "Digrin (ABT)")</f>
        <v/>
      </c>
      <c r="X3" s="64">
        <f>HYPERLINK("https://www.digrin.com/stocks/detail/MRK/price", "Digrin (MRK)")</f>
        <v/>
      </c>
      <c r="Y3" s="64">
        <f>HYPERLINK("https://www.digrin.com/stocks/detail/LLY/price", "Digrin (LLY)")</f>
        <v/>
      </c>
      <c r="Z3" s="64">
        <f>HYPERLINK("https://www.digrin.com/stocks/detail/BAC/price", "Digrin (BAC)")</f>
        <v/>
      </c>
      <c r="AA3" s="64">
        <f>HYPERLINK("https://www.digrin.com/stocks/detail/BLK/price", "Digrin (BLK)")</f>
        <v/>
      </c>
      <c r="AB3" s="64">
        <f>HYPERLINK("https://www.digrin.com/stocks/detail/AXP/price", "Digrin (AXP)")</f>
        <v/>
      </c>
      <c r="AC3" s="64">
        <f>HYPERLINK("https://www.digrin.com/stocks/detail/KO/price", "Digrin (KO)")</f>
        <v/>
      </c>
      <c r="AD3" s="64">
        <f>HYPERLINK("https://www.digrin.com/stocks/detail/PEP/price", "Digrin (PEP)")</f>
        <v/>
      </c>
      <c r="AE3" s="64">
        <f>HYPERLINK("https://www.digrin.com/stocks/detail/WMT/price", "Digrin (WMT)")</f>
        <v/>
      </c>
      <c r="AF3" s="64">
        <f>HYPERLINK("https://www.digrin.com/stocks/detail/CVX/price", "Digrin (CVX)")</f>
        <v/>
      </c>
      <c r="AG3" s="64">
        <f>HYPERLINK("https://www.digrin.com/stocks/detail/COP/price", "Digrin (COP)")</f>
        <v/>
      </c>
      <c r="AH3" s="64">
        <f>HYPERLINK("https://www.digrin.com/stocks/detail/SLB/price", "Digrin (SLB)")</f>
        <v/>
      </c>
      <c r="AI3" s="64">
        <f>HYPERLINK("https://www.digrin.com/stocks/detail/MCD/price", "Digrin (MCD)")</f>
        <v/>
      </c>
      <c r="AJ3" s="64">
        <f>HYPERLINK("https://www.digrin.com/stocks/detail/NKE/price", "Digrin (NKE)")</f>
        <v/>
      </c>
      <c r="AK3" s="64">
        <f>HYPERLINK("https://www.digrin.com/stocks/detail/SBUX/price", "Digrin (SBUX)")</f>
        <v/>
      </c>
      <c r="AL3" s="64">
        <f>HYPERLINK("https://www.digrin.com/stocks/detail/DUK/price", "Digrin (DUK)")</f>
        <v/>
      </c>
      <c r="AM3" s="64">
        <f>HYPERLINK("https://www.digrin.com/stocks/detail/AEP/price", "Digrin (AEP)")</f>
        <v/>
      </c>
      <c r="AN3" s="64">
        <f>HYPERLINK("https://www.digrin.com/stocks/detail/SO/price", "Digrin (SO)")</f>
        <v/>
      </c>
    </row>
    <row r="4" ht="24" customHeight="1">
      <c r="A4" s="3" t="inlineStr">
        <is>
          <t>Date</t>
        </is>
      </c>
      <c r="B4" s="3" t="inlineStr">
        <is>
          <t>HD</t>
        </is>
      </c>
      <c r="C4" s="3" t="inlineStr">
        <is>
          <t>JNJ</t>
        </is>
      </c>
      <c r="D4" s="3" t="inlineStr">
        <is>
          <t>JPM</t>
        </is>
      </c>
      <c r="E4" s="3" t="inlineStr">
        <is>
          <t>MSFT</t>
        </is>
      </c>
      <c r="F4" s="3" t="inlineStr">
        <is>
          <t>NEE</t>
        </is>
      </c>
      <c r="G4" s="3" t="inlineStr">
        <is>
          <t>PG</t>
        </is>
      </c>
      <c r="H4" s="3" t="inlineStr">
        <is>
          <t>UNH</t>
        </is>
      </c>
      <c r="I4" s="3" t="inlineStr">
        <is>
          <t>USMV</t>
        </is>
      </c>
      <c r="J4" s="3" t="inlineStr">
        <is>
          <t>VTI</t>
        </is>
      </c>
      <c r="K4" s="3" t="inlineStr">
        <is>
          <t>XOM</t>
        </is>
      </c>
      <c r="L4" s="3" t="inlineStr">
        <is>
          <t>VTV</t>
        </is>
      </c>
      <c r="M4" s="3" t="inlineStr">
        <is>
          <t>SCHD</t>
        </is>
      </c>
      <c r="N4" s="3" t="inlineStr">
        <is>
          <t>RSP</t>
        </is>
      </c>
      <c r="O4" s="3" t="inlineStr">
        <is>
          <t>QQQ</t>
        </is>
      </c>
      <c r="P4" s="3" t="inlineStr">
        <is>
          <t>VUG</t>
        </is>
      </c>
      <c r="Q4" s="3" t="inlineStr">
        <is>
          <t>SPY</t>
        </is>
      </c>
      <c r="R4" s="3" t="inlineStr">
        <is>
          <t>AAPL</t>
        </is>
      </c>
      <c r="S4" s="3" t="inlineStr">
        <is>
          <t>CSCO</t>
        </is>
      </c>
      <c r="T4" s="3" t="inlineStr">
        <is>
          <t>TXN</t>
        </is>
      </c>
      <c r="U4" s="3" t="inlineStr">
        <is>
          <t>NVDA</t>
        </is>
      </c>
      <c r="V4" s="3" t="inlineStr">
        <is>
          <t>PFE</t>
        </is>
      </c>
      <c r="W4" s="3" t="inlineStr">
        <is>
          <t>ABT</t>
        </is>
      </c>
      <c r="X4" s="3" t="inlineStr">
        <is>
          <t>MRK</t>
        </is>
      </c>
      <c r="Y4" s="3" t="inlineStr">
        <is>
          <t>LLY</t>
        </is>
      </c>
      <c r="Z4" s="3" t="inlineStr">
        <is>
          <t>BAC</t>
        </is>
      </c>
      <c r="AA4" s="3" t="inlineStr">
        <is>
          <t>BLK</t>
        </is>
      </c>
      <c r="AB4" s="3" t="inlineStr">
        <is>
          <t>AXP</t>
        </is>
      </c>
      <c r="AC4" s="3" t="inlineStr">
        <is>
          <t>KO</t>
        </is>
      </c>
      <c r="AD4" s="3" t="inlineStr">
        <is>
          <t>PEP</t>
        </is>
      </c>
      <c r="AE4" s="3" t="inlineStr">
        <is>
          <t>WMT</t>
        </is>
      </c>
      <c r="AF4" s="3" t="inlineStr">
        <is>
          <t>CVX</t>
        </is>
      </c>
      <c r="AG4" s="3" t="inlineStr">
        <is>
          <t>COP</t>
        </is>
      </c>
      <c r="AH4" s="3" t="inlineStr">
        <is>
          <t>SLB</t>
        </is>
      </c>
      <c r="AI4" s="3" t="inlineStr">
        <is>
          <t>MCD</t>
        </is>
      </c>
      <c r="AJ4" s="3" t="inlineStr">
        <is>
          <t>NKE</t>
        </is>
      </c>
      <c r="AK4" s="3" t="inlineStr">
        <is>
          <t>SBUX</t>
        </is>
      </c>
      <c r="AL4" s="3" t="inlineStr">
        <is>
          <t>DUK</t>
        </is>
      </c>
      <c r="AM4" s="3" t="inlineStr">
        <is>
          <t>AEP</t>
        </is>
      </c>
      <c r="AN4" s="3" t="inlineStr">
        <is>
          <t>SO</t>
        </is>
      </c>
    </row>
    <row r="5" ht="19" customHeight="1">
      <c r="A5" s="10" t="inlineStr">
        <is>
          <t>2014-12-01</t>
        </is>
      </c>
      <c r="B5" s="65" t="n">
        <v>79.36</v>
      </c>
      <c r="C5" s="65" t="n">
        <v>75.77</v>
      </c>
      <c r="D5" s="65" t="n">
        <v>45.84</v>
      </c>
      <c r="E5" s="65" t="n">
        <v>39.34</v>
      </c>
      <c r="F5" s="65" t="n">
        <v>19.53</v>
      </c>
      <c r="G5" s="65" t="n">
        <v>65.53</v>
      </c>
      <c r="H5" s="65" t="n">
        <v>83.61</v>
      </c>
      <c r="I5" s="65" t="n">
        <v>32.48</v>
      </c>
      <c r="J5" s="65" t="n">
        <v>87.41</v>
      </c>
      <c r="K5" s="65" t="n">
        <v>56.53</v>
      </c>
      <c r="L5" s="65" t="n">
        <v>63.24</v>
      </c>
      <c r="M5" s="65" t="n">
        <v>9.02</v>
      </c>
      <c r="N5" s="65" t="n">
        <v>65.89</v>
      </c>
      <c r="O5" s="65" t="n">
        <v>94.70999999999999</v>
      </c>
      <c r="P5" s="65" t="n">
        <v>15.72</v>
      </c>
      <c r="Q5" s="65" t="n">
        <v>169.36</v>
      </c>
      <c r="R5" s="65" t="n">
        <v>24.4</v>
      </c>
      <c r="S5" s="65" t="n">
        <v>19.55</v>
      </c>
      <c r="T5" s="65" t="n">
        <v>38.9</v>
      </c>
      <c r="U5" s="65" t="n">
        <v>0.48</v>
      </c>
      <c r="V5" s="65" t="n">
        <v>17.67</v>
      </c>
      <c r="W5" s="65" t="n">
        <v>35.85</v>
      </c>
      <c r="X5" s="65" t="n">
        <v>37.94</v>
      </c>
      <c r="Y5" s="65" t="n">
        <v>56.34</v>
      </c>
      <c r="Z5" s="65" t="n">
        <v>13.97</v>
      </c>
      <c r="AA5" s="65" t="n">
        <v>268.8</v>
      </c>
      <c r="AB5" s="65" t="n">
        <v>78.84</v>
      </c>
      <c r="AC5" s="65" t="n">
        <v>29.27</v>
      </c>
      <c r="AD5" s="65" t="n">
        <v>65.95999999999999</v>
      </c>
      <c r="AE5" s="65" t="n">
        <v>23.07</v>
      </c>
      <c r="AF5" s="65" t="n">
        <v>68.06</v>
      </c>
      <c r="AG5" s="65" t="n">
        <v>47.63</v>
      </c>
      <c r="AH5" s="65" t="n">
        <v>61.66</v>
      </c>
      <c r="AI5" s="65" t="n">
        <v>69.64</v>
      </c>
      <c r="AJ5" s="65" t="n">
        <v>40.78</v>
      </c>
      <c r="AK5" s="65" t="n">
        <v>32.32</v>
      </c>
      <c r="AL5" s="65" t="n">
        <v>51.68</v>
      </c>
      <c r="AM5" s="65" t="n">
        <v>40.16</v>
      </c>
      <c r="AN5" s="65" t="n">
        <v>30.04</v>
      </c>
    </row>
    <row r="6" ht="19" customHeight="1">
      <c r="A6" s="24" t="inlineStr">
        <is>
          <t>2015-01-01</t>
        </is>
      </c>
      <c r="B6" s="61" t="n">
        <v>78.94421161215999</v>
      </c>
      <c r="C6" s="61" t="n">
        <v>72.56007040028999</v>
      </c>
      <c r="D6" s="61" t="n">
        <v>40.08972120912</v>
      </c>
      <c r="E6" s="61" t="n">
        <v>34.21607176876</v>
      </c>
      <c r="F6" s="61" t="n">
        <v>20.07203813937</v>
      </c>
      <c r="G6" s="61" t="n">
        <v>61.06939970177</v>
      </c>
      <c r="H6" s="61" t="n">
        <v>87.87774101508001</v>
      </c>
      <c r="I6" s="61" t="n">
        <v>32.31952473232</v>
      </c>
      <c r="J6" s="61" t="n">
        <v>85.01861082217999</v>
      </c>
      <c r="K6" s="61" t="n">
        <v>53.45431276391</v>
      </c>
      <c r="L6" s="61" t="n">
        <v>60.65</v>
      </c>
      <c r="M6" s="61" t="n">
        <v>8.74</v>
      </c>
      <c r="N6" s="61" t="n">
        <v>63.97</v>
      </c>
      <c r="O6" s="61" t="n">
        <v>92.73999999999999</v>
      </c>
      <c r="P6" s="61" t="n">
        <v>15.48</v>
      </c>
      <c r="Q6" s="61" t="n">
        <v>164.34</v>
      </c>
      <c r="R6" s="61" t="n">
        <v>25.9</v>
      </c>
      <c r="S6" s="61" t="n">
        <v>18.66</v>
      </c>
      <c r="T6" s="61" t="n">
        <v>39.12</v>
      </c>
      <c r="U6" s="61" t="n">
        <v>0.46</v>
      </c>
      <c r="V6" s="61" t="n">
        <v>17.73</v>
      </c>
      <c r="W6" s="61" t="n">
        <v>35.83</v>
      </c>
      <c r="X6" s="61" t="n">
        <v>40.27</v>
      </c>
      <c r="Y6" s="61" t="n">
        <v>58.8</v>
      </c>
      <c r="Z6" s="61" t="n">
        <v>11.83</v>
      </c>
      <c r="AA6" s="61" t="n">
        <v>255.98</v>
      </c>
      <c r="AB6" s="61" t="n">
        <v>68.58</v>
      </c>
      <c r="AC6" s="61" t="n">
        <v>28.54</v>
      </c>
      <c r="AD6" s="61" t="n">
        <v>65.42</v>
      </c>
      <c r="AE6" s="61" t="n">
        <v>22.82</v>
      </c>
      <c r="AF6" s="61" t="n">
        <v>62.20000000000001</v>
      </c>
      <c r="AG6" s="61" t="n">
        <v>43.44</v>
      </c>
      <c r="AH6" s="61" t="n">
        <v>59.48</v>
      </c>
      <c r="AI6" s="61" t="n">
        <v>68.7</v>
      </c>
      <c r="AJ6" s="61" t="n">
        <v>39.12</v>
      </c>
      <c r="AK6" s="61" t="n">
        <v>34.47</v>
      </c>
      <c r="AL6" s="61" t="n">
        <v>53.91</v>
      </c>
      <c r="AM6" s="61" t="n">
        <v>41.54</v>
      </c>
      <c r="AN6" s="61" t="n">
        <v>31.02</v>
      </c>
    </row>
    <row r="7" ht="19" customHeight="1">
      <c r="A7" s="24" t="inlineStr">
        <is>
          <t>2015-02-01</t>
        </is>
      </c>
      <c r="B7" s="61" t="n">
        <v>86.75396771158093</v>
      </c>
      <c r="C7" s="61" t="n">
        <v>74.79730634373368</v>
      </c>
      <c r="D7" s="61" t="n">
        <v>45.17651735129667</v>
      </c>
      <c r="E7" s="61" t="n">
        <v>37.40227630671519</v>
      </c>
      <c r="F7" s="61" t="n">
        <v>19.14899967296206</v>
      </c>
      <c r="G7" s="61" t="n">
        <v>61.67797129287046</v>
      </c>
      <c r="H7" s="61" t="n">
        <v>93.98165192508633</v>
      </c>
      <c r="I7" s="61" t="n">
        <v>33.49901363528471</v>
      </c>
      <c r="J7" s="61" t="n">
        <v>89.90034876387105</v>
      </c>
      <c r="K7" s="61" t="n">
        <v>54.54666848334903</v>
      </c>
      <c r="L7" s="61" t="n">
        <v>63.87</v>
      </c>
      <c r="M7" s="61" t="n">
        <v>9.19</v>
      </c>
      <c r="N7" s="61" t="n">
        <v>67.63</v>
      </c>
      <c r="O7" s="61" t="n">
        <v>99.43638444</v>
      </c>
      <c r="P7" s="61" t="n">
        <v>16.45</v>
      </c>
      <c r="Q7" s="61" t="n">
        <v>173.5767297</v>
      </c>
      <c r="R7" s="61" t="n">
        <v>28.51012429999999</v>
      </c>
      <c r="S7" s="61" t="n">
        <v>20.88</v>
      </c>
      <c r="T7" s="61" t="n">
        <v>43.04</v>
      </c>
      <c r="U7" s="61" t="n">
        <v>0.53</v>
      </c>
      <c r="V7" s="61" t="n">
        <v>19.64358117</v>
      </c>
      <c r="W7" s="61" t="n">
        <v>37.92</v>
      </c>
      <c r="X7" s="61" t="n">
        <v>39.11</v>
      </c>
      <c r="Y7" s="61" t="n">
        <v>57.71</v>
      </c>
      <c r="Z7" s="61" t="n">
        <v>12.34536212</v>
      </c>
      <c r="AA7" s="61" t="n">
        <v>279.21</v>
      </c>
      <c r="AB7" s="61" t="n">
        <v>69.34</v>
      </c>
      <c r="AC7" s="61" t="n">
        <v>30.01657398</v>
      </c>
      <c r="AD7" s="61" t="n">
        <v>69.04000000000001</v>
      </c>
      <c r="AE7" s="61" t="n">
        <v>22.54</v>
      </c>
      <c r="AF7" s="61" t="n">
        <v>65.36000000000001</v>
      </c>
      <c r="AG7" s="61" t="n">
        <v>45.46</v>
      </c>
      <c r="AH7" s="61" t="n">
        <v>61.11</v>
      </c>
      <c r="AI7" s="61" t="n">
        <v>74.14</v>
      </c>
      <c r="AJ7" s="61" t="n">
        <v>41.31</v>
      </c>
      <c r="AK7" s="61" t="n">
        <v>36.95999999999999</v>
      </c>
      <c r="AL7" s="61" t="n">
        <v>49.06</v>
      </c>
      <c r="AM7" s="61" t="n">
        <v>38.41</v>
      </c>
      <c r="AN7" s="61" t="n">
        <v>28.32</v>
      </c>
    </row>
    <row r="8" ht="19" customHeight="1">
      <c r="A8" s="24" t="inlineStr">
        <is>
          <t>2015-03-01</t>
        </is>
      </c>
      <c r="B8" s="61" t="n">
        <v>86.33408275880129</v>
      </c>
      <c r="C8" s="61" t="n">
        <v>73.40361987780798</v>
      </c>
      <c r="D8" s="61" t="n">
        <v>44.66046635500494</v>
      </c>
      <c r="E8" s="61" t="n">
        <v>34.68133034844014</v>
      </c>
      <c r="F8" s="61" t="n">
        <v>19.25820184148604</v>
      </c>
      <c r="G8" s="61" t="n">
        <v>59.36677466097387</v>
      </c>
      <c r="H8" s="61" t="n">
        <v>98.16319401097827</v>
      </c>
      <c r="I8" s="61" t="n">
        <v>33.24840392988469</v>
      </c>
      <c r="J8" s="61" t="n">
        <v>88.85492853381598</v>
      </c>
      <c r="K8" s="61" t="n">
        <v>52.36576689276721</v>
      </c>
      <c r="L8" s="61" t="n">
        <v>63.02</v>
      </c>
      <c r="M8" s="61" t="n">
        <v>8.98</v>
      </c>
      <c r="N8" s="61" t="n">
        <v>66.98</v>
      </c>
      <c r="O8" s="61" t="n">
        <v>97.0906801310604</v>
      </c>
      <c r="P8" s="61" t="n">
        <v>15.8</v>
      </c>
      <c r="Q8" s="61" t="n">
        <v>170.849839276413</v>
      </c>
      <c r="R8" s="61" t="n">
        <v>27.61576170070899</v>
      </c>
      <c r="S8" s="61" t="n">
        <v>19.62</v>
      </c>
      <c r="T8" s="61" t="n">
        <v>41.86</v>
      </c>
      <c r="U8" s="61" t="n">
        <v>0.5</v>
      </c>
      <c r="V8" s="61" t="n">
        <v>19.91258037054198</v>
      </c>
      <c r="W8" s="61" t="n">
        <v>37.09</v>
      </c>
      <c r="X8" s="61" t="n">
        <v>38.71</v>
      </c>
      <c r="Y8" s="61" t="n">
        <v>59.75</v>
      </c>
      <c r="Z8" s="61" t="n">
        <v>12.0549992029376</v>
      </c>
      <c r="AA8" s="61" t="n">
        <v>276.63</v>
      </c>
      <c r="AB8" s="61" t="n">
        <v>66.62</v>
      </c>
      <c r="AC8" s="61" t="n">
        <v>28.3434501463548</v>
      </c>
      <c r="AD8" s="61" t="n">
        <v>67.14</v>
      </c>
      <c r="AE8" s="61" t="n">
        <v>22.22</v>
      </c>
      <c r="AF8" s="61" t="n">
        <v>64.32000000000001</v>
      </c>
      <c r="AG8" s="61" t="n">
        <v>43.41</v>
      </c>
      <c r="AH8" s="61" t="n">
        <v>60.58</v>
      </c>
      <c r="AI8" s="61" t="n">
        <v>73.05</v>
      </c>
      <c r="AJ8" s="61" t="n">
        <v>42.68000000000001</v>
      </c>
      <c r="AK8" s="61" t="n">
        <v>37.43</v>
      </c>
      <c r="AL8" s="61" t="n">
        <v>47.96</v>
      </c>
      <c r="AM8" s="61" t="n">
        <v>37.52</v>
      </c>
      <c r="AN8" s="61" t="n">
        <v>27.38</v>
      </c>
    </row>
    <row r="9" ht="19" customHeight="1">
      <c r="A9" s="24" t="inlineStr">
        <is>
          <t>2015-04-01</t>
        </is>
      </c>
      <c r="B9" s="61" t="n">
        <v>81.29581441530256</v>
      </c>
      <c r="C9" s="61" t="n">
        <v>72.3821003836762</v>
      </c>
      <c r="D9" s="61" t="n">
        <v>46.94617245402107</v>
      </c>
      <c r="E9" s="61" t="n">
        <v>41.48795001007436</v>
      </c>
      <c r="F9" s="61" t="n">
        <v>18.68073564643062</v>
      </c>
      <c r="G9" s="61" t="n">
        <v>58.06955886680409</v>
      </c>
      <c r="H9" s="61" t="n">
        <v>92.44549334553535</v>
      </c>
      <c r="I9" s="61" t="n">
        <v>33.05501395670684</v>
      </c>
      <c r="J9" s="61" t="n">
        <v>89.40172052768516</v>
      </c>
      <c r="K9" s="61" t="n">
        <v>53.82585779698007</v>
      </c>
      <c r="L9" s="61" t="n">
        <v>63.83</v>
      </c>
      <c r="M9" s="61" t="n">
        <v>9.050000000000001</v>
      </c>
      <c r="N9" s="61" t="n">
        <v>67.25</v>
      </c>
      <c r="O9" s="61" t="n">
        <v>98.95705427521978</v>
      </c>
      <c r="P9" s="61" t="n">
        <v>16.24</v>
      </c>
      <c r="Q9" s="61" t="n">
        <v>172.5299765958572</v>
      </c>
      <c r="R9" s="61" t="n">
        <v>27.77557411367099</v>
      </c>
      <c r="S9" s="61" t="n">
        <v>20.55</v>
      </c>
      <c r="T9" s="61" t="n">
        <v>39.92</v>
      </c>
      <c r="U9" s="61" t="n">
        <v>0.53</v>
      </c>
      <c r="V9" s="61" t="n">
        <v>19.42034138378219</v>
      </c>
      <c r="W9" s="61" t="n">
        <v>37.35</v>
      </c>
      <c r="X9" s="61" t="n">
        <v>40.12</v>
      </c>
      <c r="Y9" s="61" t="n">
        <v>59.11</v>
      </c>
      <c r="Z9" s="61" t="n">
        <v>12.47797295997107</v>
      </c>
      <c r="AA9" s="61" t="n">
        <v>275.2</v>
      </c>
      <c r="AB9" s="61" t="n">
        <v>66.04000000000001</v>
      </c>
      <c r="AC9" s="61" t="n">
        <v>28.35045097854095</v>
      </c>
      <c r="AD9" s="61" t="n">
        <v>66.79000000000001</v>
      </c>
      <c r="AE9" s="61" t="n">
        <v>21.09</v>
      </c>
      <c r="AF9" s="61" t="n">
        <v>68.04000000000002</v>
      </c>
      <c r="AG9" s="61" t="n">
        <v>47.35</v>
      </c>
      <c r="AH9" s="61" t="n">
        <v>68.7</v>
      </c>
      <c r="AI9" s="61" t="n">
        <v>72.38</v>
      </c>
      <c r="AJ9" s="61" t="n">
        <v>42.04000000000001</v>
      </c>
      <c r="AK9" s="61" t="n">
        <v>39.20000000000001</v>
      </c>
      <c r="AL9" s="61" t="n">
        <v>48.45000000000001</v>
      </c>
      <c r="AM9" s="61" t="n">
        <v>37.93</v>
      </c>
      <c r="AN9" s="61" t="n">
        <v>27.4</v>
      </c>
    </row>
    <row r="10" ht="19" customHeight="1">
      <c r="A10" s="24" t="inlineStr">
        <is>
          <t>2015-05-01</t>
        </is>
      </c>
      <c r="B10" s="61" t="n">
        <v>84.66987646832528</v>
      </c>
      <c r="C10" s="61" t="n">
        <v>73.60081503477605</v>
      </c>
      <c r="D10" s="61" t="n">
        <v>48.81629806825224</v>
      </c>
      <c r="E10" s="61" t="n">
        <v>40.22945295792666</v>
      </c>
      <c r="F10" s="61" t="n">
        <v>19.08718177093857</v>
      </c>
      <c r="G10" s="61" t="n">
        <v>57.2515810145726</v>
      </c>
      <c r="H10" s="61" t="n">
        <v>99.75649619065554</v>
      </c>
      <c r="I10" s="61" t="n">
        <v>33.39345303895983</v>
      </c>
      <c r="J10" s="61" t="n">
        <v>90.56160316211714</v>
      </c>
      <c r="K10" s="61" t="n">
        <v>52.92311306304354</v>
      </c>
      <c r="L10" s="61" t="n">
        <v>64.58</v>
      </c>
      <c r="M10" s="61" t="n">
        <v>9.09</v>
      </c>
      <c r="N10" s="61" t="n">
        <v>67.73999999999999</v>
      </c>
      <c r="O10" s="61" t="n">
        <v>101.1821036405981</v>
      </c>
      <c r="P10" s="61" t="n">
        <v>16.48</v>
      </c>
      <c r="Q10" s="61" t="n">
        <v>174.7480219749736</v>
      </c>
      <c r="R10" s="61" t="n">
        <v>29.03489086841072</v>
      </c>
      <c r="S10" s="61" t="n">
        <v>20.89</v>
      </c>
      <c r="T10" s="61" t="n">
        <v>41.18</v>
      </c>
      <c r="U10" s="61" t="n">
        <v>0.54</v>
      </c>
      <c r="V10" s="61" t="n">
        <v>20.05426016723161</v>
      </c>
      <c r="W10" s="61" t="n">
        <v>39.1</v>
      </c>
      <c r="X10" s="61" t="n">
        <v>41.01</v>
      </c>
      <c r="Y10" s="61" t="n">
        <v>65.34</v>
      </c>
      <c r="Z10" s="61" t="n">
        <v>12.92445978842476</v>
      </c>
      <c r="AA10" s="61" t="n">
        <v>276.59</v>
      </c>
      <c r="AB10" s="61" t="n">
        <v>67.98</v>
      </c>
      <c r="AC10" s="61" t="n">
        <v>28.63004312609132</v>
      </c>
      <c r="AD10" s="61" t="n">
        <v>67.70999999999999</v>
      </c>
      <c r="AE10" s="61" t="n">
        <v>20.19</v>
      </c>
      <c r="AF10" s="61" t="n">
        <v>63.73000000000001</v>
      </c>
      <c r="AG10" s="61" t="n">
        <v>44.9</v>
      </c>
      <c r="AH10" s="61" t="n">
        <v>65.91</v>
      </c>
      <c r="AI10" s="61" t="n">
        <v>72.54000000000001</v>
      </c>
      <c r="AJ10" s="61" t="n">
        <v>43.36000000000001</v>
      </c>
      <c r="AK10" s="61" t="n">
        <v>41.21000000000001</v>
      </c>
      <c r="AL10" s="61" t="n">
        <v>47.8</v>
      </c>
      <c r="AM10" s="61" t="n">
        <v>37.91</v>
      </c>
      <c r="AN10" s="61" t="n">
        <v>27.36</v>
      </c>
    </row>
    <row r="11" ht="19" customHeight="1">
      <c r="A11" s="24" t="inlineStr">
        <is>
          <t>2015-06-01</t>
        </is>
      </c>
      <c r="B11" s="61" t="n">
        <v>84.89801691037289</v>
      </c>
      <c r="C11" s="61" t="n">
        <v>71.63104525409814</v>
      </c>
      <c r="D11" s="61" t="n">
        <v>50.28569563551946</v>
      </c>
      <c r="E11" s="61" t="n">
        <v>37.90289301618279</v>
      </c>
      <c r="F11" s="61" t="n">
        <v>18.28333726919028</v>
      </c>
      <c r="G11" s="61" t="n">
        <v>57.1420395035605</v>
      </c>
      <c r="H11" s="61" t="n">
        <v>101.6707739730886</v>
      </c>
      <c r="I11" s="61" t="n">
        <v>32.64830017407444</v>
      </c>
      <c r="J11" s="61" t="n">
        <v>89.04481422035899</v>
      </c>
      <c r="K11" s="61" t="n">
        <v>51.68079696546392</v>
      </c>
      <c r="L11" s="61" t="n">
        <v>63.14</v>
      </c>
      <c r="M11" s="61" t="n">
        <v>8.789999999999999</v>
      </c>
      <c r="N11" s="61" t="n">
        <v>66.2</v>
      </c>
      <c r="O11" s="61" t="n">
        <v>98.66874018616565</v>
      </c>
      <c r="P11" s="61" t="n">
        <v>16.21</v>
      </c>
      <c r="Q11" s="61" t="n">
        <v>171.1988896486619</v>
      </c>
      <c r="R11" s="61" t="n">
        <v>27.95392188137979</v>
      </c>
      <c r="S11" s="61" t="n">
        <v>19.57999999999999</v>
      </c>
      <c r="T11" s="61" t="n">
        <v>37.94</v>
      </c>
      <c r="U11" s="61" t="n">
        <v>0.49</v>
      </c>
      <c r="V11" s="61" t="n">
        <v>19.3501550927601</v>
      </c>
      <c r="W11" s="61" t="n">
        <v>39.48999999999999</v>
      </c>
      <c r="X11" s="61" t="n">
        <v>38.64</v>
      </c>
      <c r="Y11" s="61" t="n">
        <v>69.14</v>
      </c>
      <c r="Z11" s="61" t="n">
        <v>13.37176241724235</v>
      </c>
      <c r="AA11" s="61" t="n">
        <v>263.22</v>
      </c>
      <c r="AB11" s="61" t="n">
        <v>66.52</v>
      </c>
      <c r="AC11" s="61" t="n">
        <v>27.64717374557261</v>
      </c>
      <c r="AD11" s="61" t="n">
        <v>66.03</v>
      </c>
      <c r="AE11" s="61" t="n">
        <v>19.29</v>
      </c>
      <c r="AF11" s="61" t="n">
        <v>59.69000000000001</v>
      </c>
      <c r="AG11" s="61" t="n">
        <v>43.3</v>
      </c>
      <c r="AH11" s="61" t="n">
        <v>62.93</v>
      </c>
      <c r="AI11" s="61" t="n">
        <v>71.89</v>
      </c>
      <c r="AJ11" s="61" t="n">
        <v>46.07000000000001</v>
      </c>
      <c r="AK11" s="61" t="n">
        <v>42.53000000000001</v>
      </c>
      <c r="AL11" s="61" t="n">
        <v>44.57000000000001</v>
      </c>
      <c r="AM11" s="61" t="n">
        <v>35.67</v>
      </c>
      <c r="AN11" s="61" t="n">
        <v>26.24</v>
      </c>
    </row>
    <row r="12" ht="19" customHeight="1">
      <c r="A12" s="24" t="inlineStr">
        <is>
          <t>2015-07-01</t>
        </is>
      </c>
      <c r="B12" s="61" t="n">
        <v>89.4053585808697</v>
      </c>
      <c r="C12" s="61" t="n">
        <v>73.65227285587312</v>
      </c>
      <c r="D12" s="61" t="n">
        <v>51.18951237459338</v>
      </c>
      <c r="E12" s="61" t="n">
        <v>40.09208652957551</v>
      </c>
      <c r="F12" s="61" t="n">
        <v>19.62059366621168</v>
      </c>
      <c r="G12" s="61" t="n">
        <v>56.47600617661688</v>
      </c>
      <c r="H12" s="61" t="n">
        <v>101.1707219286012</v>
      </c>
      <c r="I12" s="61" t="n">
        <v>33.96007341901476</v>
      </c>
      <c r="J12" s="61" t="n">
        <v>90.5591083720045</v>
      </c>
      <c r="K12" s="61" t="n">
        <v>49.20235809173496</v>
      </c>
      <c r="L12" s="61" t="n">
        <v>63.77999999999999</v>
      </c>
      <c r="M12" s="61" t="n">
        <v>8.85</v>
      </c>
      <c r="N12" s="61" t="n">
        <v>66.84</v>
      </c>
      <c r="O12" s="61" t="n">
        <v>103.1658640263707</v>
      </c>
      <c r="P12" s="61" t="n">
        <v>16.74</v>
      </c>
      <c r="Q12" s="61" t="n">
        <v>175.0661013669355</v>
      </c>
      <c r="R12" s="61" t="n">
        <v>27.03339923382595</v>
      </c>
      <c r="S12" s="61" t="n">
        <v>20.42</v>
      </c>
      <c r="T12" s="61" t="n">
        <v>37.06</v>
      </c>
      <c r="U12" s="61" t="n">
        <v>0.48</v>
      </c>
      <c r="V12" s="61" t="n">
        <v>20.81022104528432</v>
      </c>
      <c r="W12" s="61" t="n">
        <v>40.97999999999999</v>
      </c>
      <c r="X12" s="61" t="n">
        <v>40.01</v>
      </c>
      <c r="Y12" s="61" t="n">
        <v>69.98999999999999</v>
      </c>
      <c r="Z12" s="61" t="n">
        <v>14.04742420042319</v>
      </c>
      <c r="AA12" s="61" t="n">
        <v>255.87</v>
      </c>
      <c r="AB12" s="61" t="n">
        <v>65.09999999999999</v>
      </c>
      <c r="AC12" s="61" t="n">
        <v>28.95095916506632</v>
      </c>
      <c r="AD12" s="61" t="n">
        <v>68.16</v>
      </c>
      <c r="AE12" s="61" t="n">
        <v>19.57</v>
      </c>
      <c r="AF12" s="61" t="n">
        <v>54.75000000000001</v>
      </c>
      <c r="AG12" s="61" t="n">
        <v>35.97</v>
      </c>
      <c r="AH12" s="61" t="n">
        <v>60.47</v>
      </c>
      <c r="AI12" s="61" t="n">
        <v>75.50999999999999</v>
      </c>
      <c r="AJ12" s="61" t="n">
        <v>49.14000000000001</v>
      </c>
      <c r="AK12" s="61" t="n">
        <v>45.94</v>
      </c>
      <c r="AL12" s="61" t="n">
        <v>46.84</v>
      </c>
      <c r="AM12" s="61" t="n">
        <v>38.1</v>
      </c>
      <c r="AN12" s="61" t="n">
        <v>28.01</v>
      </c>
    </row>
    <row r="13" ht="19" customHeight="1">
      <c r="A13" s="24" t="inlineStr">
        <is>
          <t>2015-08-01</t>
        </is>
      </c>
      <c r="B13" s="61" t="n">
        <v>88.96988841402087</v>
      </c>
      <c r="C13" s="61" t="n">
        <v>69.6017462240507</v>
      </c>
      <c r="D13" s="61" t="n">
        <v>47.88046463100155</v>
      </c>
      <c r="E13" s="61" t="n">
        <v>37.60842133995772</v>
      </c>
      <c r="F13" s="61" t="n">
        <v>18.49589985743238</v>
      </c>
      <c r="G13" s="61" t="n">
        <v>52.03595321500117</v>
      </c>
      <c r="H13" s="61" t="n">
        <v>96.42053871348902</v>
      </c>
      <c r="I13" s="61" t="n">
        <v>32.42157087389295</v>
      </c>
      <c r="J13" s="61" t="n">
        <v>85.04269648204129</v>
      </c>
      <c r="K13" s="61" t="n">
        <v>47.17362122208685</v>
      </c>
      <c r="L13" s="61" t="n">
        <v>60.04999999999999</v>
      </c>
      <c r="M13" s="61" t="n">
        <v>8.380000000000001</v>
      </c>
      <c r="N13" s="61" t="n">
        <v>63.19</v>
      </c>
      <c r="O13" s="61" t="n">
        <v>96.12582546521116</v>
      </c>
      <c r="P13" s="61" t="n">
        <v>15.69</v>
      </c>
      <c r="Q13" s="61" t="n">
        <v>164.3958224886208</v>
      </c>
      <c r="R13" s="61" t="n">
        <v>25.24378820454667</v>
      </c>
      <c r="S13" s="61" t="n">
        <v>18.59</v>
      </c>
      <c r="T13" s="61" t="n">
        <v>35.47</v>
      </c>
      <c r="U13" s="61" t="n">
        <v>0.55</v>
      </c>
      <c r="V13" s="61" t="n">
        <v>18.73939594906808</v>
      </c>
      <c r="W13" s="61" t="n">
        <v>36.61999999999999</v>
      </c>
      <c r="X13" s="61" t="n">
        <v>36.54</v>
      </c>
      <c r="Y13" s="61" t="n">
        <v>68.61</v>
      </c>
      <c r="Z13" s="61" t="n">
        <v>12.83751955404074</v>
      </c>
      <c r="AA13" s="61" t="n">
        <v>231.74</v>
      </c>
      <c r="AB13" s="61" t="n">
        <v>65.67</v>
      </c>
      <c r="AC13" s="61" t="n">
        <v>27.71070007443488</v>
      </c>
      <c r="AD13" s="61" t="n">
        <v>65.73999999999999</v>
      </c>
      <c r="AE13" s="61" t="n">
        <v>17.72</v>
      </c>
      <c r="AF13" s="61" t="n">
        <v>50.74000000000002</v>
      </c>
      <c r="AG13" s="61" t="n">
        <v>35.12</v>
      </c>
      <c r="AH13" s="61" t="n">
        <v>56.86</v>
      </c>
      <c r="AI13" s="61" t="n">
        <v>72.47999999999999</v>
      </c>
      <c r="AJ13" s="61" t="n">
        <v>47.66</v>
      </c>
      <c r="AK13" s="61" t="n">
        <v>43.51000000000001</v>
      </c>
      <c r="AL13" s="61" t="n">
        <v>45.25</v>
      </c>
      <c r="AM13" s="61" t="n">
        <v>36.9</v>
      </c>
      <c r="AN13" s="61" t="n">
        <v>27.51</v>
      </c>
    </row>
    <row r="14" ht="19" customHeight="1">
      <c r="A14" s="24" t="inlineStr">
        <is>
          <t>2015-09-01</t>
        </is>
      </c>
      <c r="B14" s="61" t="n">
        <v>88.67811033041876</v>
      </c>
      <c r="C14" s="61" t="n">
        <v>69.13516235722298</v>
      </c>
      <c r="D14" s="61" t="n">
        <v>45.54246063334092</v>
      </c>
      <c r="E14" s="61" t="n">
        <v>38.24790350346227</v>
      </c>
      <c r="F14" s="61" t="n">
        <v>18.33427271518812</v>
      </c>
      <c r="G14" s="61" t="n">
        <v>52.97110111298716</v>
      </c>
      <c r="H14" s="61" t="n">
        <v>97.09708007638939</v>
      </c>
      <c r="I14" s="61" t="n">
        <v>32.21987070497627</v>
      </c>
      <c r="J14" s="61" t="n">
        <v>82.55691002967794</v>
      </c>
      <c r="K14" s="61" t="n">
        <v>46.6156229487103</v>
      </c>
      <c r="L14" s="61" t="n">
        <v>58.52999999999999</v>
      </c>
      <c r="M14" s="61" t="n">
        <v>8.32</v>
      </c>
      <c r="N14" s="61" t="n">
        <v>61.28</v>
      </c>
      <c r="O14" s="61" t="n">
        <v>94.00432849719395</v>
      </c>
      <c r="P14" s="61" t="n">
        <v>15.24</v>
      </c>
      <c r="Q14" s="61" t="n">
        <v>160.2004410987111</v>
      </c>
      <c r="R14" s="61" t="n">
        <v>24.69296874592347</v>
      </c>
      <c r="S14" s="61" t="n">
        <v>18.86</v>
      </c>
      <c r="T14" s="61" t="n">
        <v>36.72</v>
      </c>
      <c r="U14" s="61" t="n">
        <v>0.6</v>
      </c>
      <c r="V14" s="61" t="n">
        <v>18.2682875349085</v>
      </c>
      <c r="W14" s="61" t="n">
        <v>32.52</v>
      </c>
      <c r="X14" s="61" t="n">
        <v>33.81</v>
      </c>
      <c r="Y14" s="61" t="n">
        <v>69.72</v>
      </c>
      <c r="Z14" s="61" t="n">
        <v>12.27985770461321</v>
      </c>
      <c r="AA14" s="61" t="n">
        <v>227.91</v>
      </c>
      <c r="AB14" s="61" t="n">
        <v>63.45</v>
      </c>
      <c r="AC14" s="61" t="n">
        <v>28.51943685610727</v>
      </c>
      <c r="AD14" s="61" t="n">
        <v>67.22</v>
      </c>
      <c r="AE14" s="61" t="n">
        <v>17.75</v>
      </c>
      <c r="AF14" s="61" t="n">
        <v>49.42000000000002</v>
      </c>
      <c r="AG14" s="61" t="n">
        <v>34.27</v>
      </c>
      <c r="AH14" s="61" t="n">
        <v>50.69</v>
      </c>
      <c r="AI14" s="61" t="n">
        <v>75.15999999999998</v>
      </c>
      <c r="AJ14" s="61" t="n">
        <v>52.58000000000001</v>
      </c>
      <c r="AK14" s="61" t="n">
        <v>45.20000000000001</v>
      </c>
      <c r="AL14" s="61" t="n">
        <v>45.91</v>
      </c>
      <c r="AM14" s="61" t="n">
        <v>38.65</v>
      </c>
      <c r="AN14" s="61" t="n">
        <v>28.32</v>
      </c>
    </row>
    <row r="15" ht="19" customHeight="1">
      <c r="A15" s="24" t="inlineStr">
        <is>
          <t>2015-10-01</t>
        </is>
      </c>
      <c r="B15" s="61" t="n">
        <v>94.93603678510719</v>
      </c>
      <c r="C15" s="61" t="n">
        <v>74.82297037615842</v>
      </c>
      <c r="D15" s="61" t="n">
        <v>48.33880050679971</v>
      </c>
      <c r="E15" s="61" t="n">
        <v>45.48959196160368</v>
      </c>
      <c r="F15" s="61" t="n">
        <v>19.29467312763337</v>
      </c>
      <c r="G15" s="61" t="n">
        <v>56.74587215381578</v>
      </c>
      <c r="H15" s="61" t="n">
        <v>98.57851323912283</v>
      </c>
      <c r="I15" s="61" t="n">
        <v>34.14867514862263</v>
      </c>
      <c r="J15" s="61" t="n">
        <v>89.08820199520565</v>
      </c>
      <c r="K15" s="61" t="n">
        <v>51.87594534626766</v>
      </c>
      <c r="L15" s="61" t="n">
        <v>62.99999999999999</v>
      </c>
      <c r="M15" s="61" t="n">
        <v>9.050000000000001</v>
      </c>
      <c r="N15" s="61" t="n">
        <v>65.56</v>
      </c>
      <c r="O15" s="61" t="n">
        <v>104.6925266429964</v>
      </c>
      <c r="P15" s="61" t="n">
        <v>16.61</v>
      </c>
      <c r="Q15" s="61" t="n">
        <v>173.8270906185675</v>
      </c>
      <c r="R15" s="61" t="n">
        <v>26.7525845760522</v>
      </c>
      <c r="S15" s="61" t="n">
        <v>20.88999999999999</v>
      </c>
      <c r="T15" s="61" t="n">
        <v>42.33</v>
      </c>
      <c r="U15" s="61" t="n">
        <v>0.6899999999999999</v>
      </c>
      <c r="V15" s="61" t="n">
        <v>19.66997670088696</v>
      </c>
      <c r="W15" s="61" t="n">
        <v>36.42999999999999</v>
      </c>
      <c r="X15" s="61" t="n">
        <v>37.41</v>
      </c>
      <c r="Y15" s="61" t="n">
        <v>67.95999999999999</v>
      </c>
      <c r="Z15" s="61" t="n">
        <v>13.22567690473793</v>
      </c>
      <c r="AA15" s="61" t="n">
        <v>269.66</v>
      </c>
      <c r="AB15" s="61" t="n">
        <v>62.94</v>
      </c>
      <c r="AC15" s="61" t="n">
        <v>30.10466123431713</v>
      </c>
      <c r="AD15" s="61" t="n">
        <v>72.84999999999999</v>
      </c>
      <c r="AE15" s="61" t="n">
        <v>15.67</v>
      </c>
      <c r="AF15" s="61" t="n">
        <v>56.94000000000001</v>
      </c>
      <c r="AG15" s="61" t="n">
        <v>38.64</v>
      </c>
      <c r="AH15" s="61" t="n">
        <v>57.44</v>
      </c>
      <c r="AI15" s="61" t="n">
        <v>85.62999999999998</v>
      </c>
      <c r="AJ15" s="61" t="n">
        <v>56.03</v>
      </c>
      <c r="AK15" s="61" t="n">
        <v>49.76000000000001</v>
      </c>
      <c r="AL15" s="61" t="n">
        <v>45.61000000000001</v>
      </c>
      <c r="AM15" s="61" t="n">
        <v>38.51</v>
      </c>
      <c r="AN15" s="61" t="n">
        <v>28.58</v>
      </c>
    </row>
    <row r="16" ht="19" customHeight="1">
      <c r="A16" s="24" t="inlineStr">
        <is>
          <t>2015-11-01</t>
        </is>
      </c>
      <c r="B16" s="61" t="n">
        <v>102.7987123574621</v>
      </c>
      <c r="C16" s="61" t="n">
        <v>75.53125718399816</v>
      </c>
      <c r="D16" s="61" t="n">
        <v>50.16701038942245</v>
      </c>
      <c r="E16" s="61" t="n">
        <v>47.28389980319029</v>
      </c>
      <c r="F16" s="61" t="n">
        <v>18.91335049596594</v>
      </c>
      <c r="G16" s="61" t="n">
        <v>55.60170326096461</v>
      </c>
      <c r="H16" s="61" t="n">
        <v>94.33506825290894</v>
      </c>
      <c r="I16" s="61" t="n">
        <v>34.07541889846368</v>
      </c>
      <c r="J16" s="61" t="n">
        <v>89.6234279660047</v>
      </c>
      <c r="K16" s="61" t="n">
        <v>51.6451583955885</v>
      </c>
      <c r="L16" s="61" t="n">
        <v>63.34999999999999</v>
      </c>
      <c r="M16" s="61" t="n">
        <v>9.08</v>
      </c>
      <c r="N16" s="61" t="n">
        <v>65.76000000000001</v>
      </c>
      <c r="O16" s="61" t="n">
        <v>105.329894745199</v>
      </c>
      <c r="P16" s="61" t="n">
        <v>16.63</v>
      </c>
      <c r="Q16" s="61" t="n">
        <v>174.4624286347783</v>
      </c>
      <c r="R16" s="61" t="n">
        <v>26.59741958551109</v>
      </c>
      <c r="S16" s="61" t="n">
        <v>19.72999999999999</v>
      </c>
      <c r="T16" s="61" t="n">
        <v>43.38</v>
      </c>
      <c r="U16" s="61" t="n">
        <v>0.77</v>
      </c>
      <c r="V16" s="61" t="n">
        <v>19.21304314212535</v>
      </c>
      <c r="W16" s="61" t="n">
        <v>36.52999999999999</v>
      </c>
      <c r="X16" s="61" t="n">
        <v>36.28</v>
      </c>
      <c r="Y16" s="61" t="n">
        <v>68.78</v>
      </c>
      <c r="Z16" s="61" t="n">
        <v>13.73799995099676</v>
      </c>
      <c r="AA16" s="61" t="n">
        <v>278.67</v>
      </c>
      <c r="AB16" s="61" t="n">
        <v>61.55</v>
      </c>
      <c r="AC16" s="61" t="n">
        <v>30.52892622509236</v>
      </c>
      <c r="AD16" s="61" t="n">
        <v>71.40000000000001</v>
      </c>
      <c r="AE16" s="61" t="n">
        <v>16.11</v>
      </c>
      <c r="AF16" s="61" t="n">
        <v>57.92000000000002</v>
      </c>
      <c r="AG16" s="61" t="n">
        <v>39.14</v>
      </c>
      <c r="AH16" s="61" t="n">
        <v>57.07</v>
      </c>
      <c r="AI16" s="61" t="n">
        <v>87.76999999999998</v>
      </c>
      <c r="AJ16" s="61" t="n">
        <v>56.56</v>
      </c>
      <c r="AK16" s="61" t="n">
        <v>48.98</v>
      </c>
      <c r="AL16" s="61" t="n">
        <v>43.77000000000001</v>
      </c>
      <c r="AM16" s="61" t="n">
        <v>38.46</v>
      </c>
      <c r="AN16" s="61" t="n">
        <v>28.57</v>
      </c>
    </row>
    <row r="17" ht="19" customHeight="1">
      <c r="A17" s="24" t="inlineStr">
        <is>
          <t>2015-12-01</t>
        </is>
      </c>
      <c r="B17" s="61" t="n">
        <v>101.9966505899775</v>
      </c>
      <c r="C17" s="61" t="n">
        <v>76.63542197023725</v>
      </c>
      <c r="D17" s="61" t="n">
        <v>49.67798437882678</v>
      </c>
      <c r="E17" s="61" t="n">
        <v>48.26698882077837</v>
      </c>
      <c r="F17" s="61" t="n">
        <v>19.67662133777114</v>
      </c>
      <c r="G17" s="61" t="n">
        <v>58.99695238008508</v>
      </c>
      <c r="H17" s="61" t="n">
        <v>98.88661549057512</v>
      </c>
      <c r="I17" s="61" t="n">
        <v>34.24731309875619</v>
      </c>
      <c r="J17" s="61" t="n">
        <v>87.72035226628206</v>
      </c>
      <c r="K17" s="61" t="n">
        <v>49.29876721949186</v>
      </c>
      <c r="L17" s="61" t="n">
        <v>62.61999999999998</v>
      </c>
      <c r="M17" s="61" t="n">
        <v>8.99</v>
      </c>
      <c r="N17" s="61" t="n">
        <v>64.13</v>
      </c>
      <c r="O17" s="61" t="n">
        <v>103.6498829240131</v>
      </c>
      <c r="P17" s="61" t="n">
        <v>16.23</v>
      </c>
      <c r="Q17" s="61" t="n">
        <v>171.4477178679694</v>
      </c>
      <c r="R17" s="61" t="n">
        <v>23.66558602460021</v>
      </c>
      <c r="S17" s="61" t="n">
        <v>19.66999999999999</v>
      </c>
      <c r="T17" s="61" t="n">
        <v>40.91</v>
      </c>
      <c r="U17" s="61" t="n">
        <v>0.8000000000000002</v>
      </c>
      <c r="V17" s="61" t="n">
        <v>18.92580814715058</v>
      </c>
      <c r="W17" s="61" t="n">
        <v>36.52</v>
      </c>
      <c r="X17" s="61" t="n">
        <v>36.47000000000001</v>
      </c>
      <c r="Y17" s="61" t="n">
        <v>70.64</v>
      </c>
      <c r="Z17" s="61" t="n">
        <v>13.30236797255066</v>
      </c>
      <c r="AA17" s="61" t="n">
        <v>262.47</v>
      </c>
      <c r="AB17" s="61" t="n">
        <v>59.75</v>
      </c>
      <c r="AC17" s="61" t="n">
        <v>30.77245546958992</v>
      </c>
      <c r="AD17" s="61" t="n">
        <v>71.73</v>
      </c>
      <c r="AE17" s="61" t="n">
        <v>16.92</v>
      </c>
      <c r="AF17" s="61" t="n">
        <v>57.05000000000001</v>
      </c>
      <c r="AG17" s="61" t="n">
        <v>33.82</v>
      </c>
      <c r="AH17" s="61" t="n">
        <v>51.6</v>
      </c>
      <c r="AI17" s="61" t="n">
        <v>90.82999999999998</v>
      </c>
      <c r="AJ17" s="61" t="n">
        <v>53.58</v>
      </c>
      <c r="AK17" s="61" t="n">
        <v>47.90000000000001</v>
      </c>
      <c r="AL17" s="61" t="n">
        <v>46.12</v>
      </c>
      <c r="AM17" s="61" t="n">
        <v>40.01</v>
      </c>
      <c r="AN17" s="61" t="n">
        <v>30.02</v>
      </c>
    </row>
    <row r="18" ht="19" customHeight="1">
      <c r="A18" s="24" t="inlineStr">
        <is>
          <t>2016-01-01</t>
        </is>
      </c>
      <c r="B18" s="61" t="n">
        <v>96.99129194810432</v>
      </c>
      <c r="C18" s="61" t="n">
        <v>77.9186477018244</v>
      </c>
      <c r="D18" s="61" t="n">
        <v>45.06540782178707</v>
      </c>
      <c r="E18" s="61" t="n">
        <v>47.92769587806174</v>
      </c>
      <c r="F18" s="61" t="n">
        <v>21.15772220256606</v>
      </c>
      <c r="G18" s="61" t="n">
        <v>61.2198414397644</v>
      </c>
      <c r="H18" s="61" t="n">
        <v>96.80198180508754</v>
      </c>
      <c r="I18" s="61" t="n">
        <v>33.77233601747552</v>
      </c>
      <c r="J18" s="61" t="n">
        <v>82.69934904072076</v>
      </c>
      <c r="K18" s="61" t="n">
        <v>49.23554066315506</v>
      </c>
      <c r="L18" s="61" t="n">
        <v>59.63999999999999</v>
      </c>
      <c r="M18" s="61" t="n">
        <v>8.779999999999999</v>
      </c>
      <c r="N18" s="61" t="n">
        <v>60.57</v>
      </c>
      <c r="O18" s="61" t="n">
        <v>96.48767601396376</v>
      </c>
      <c r="P18" s="61" t="n">
        <v>15.25</v>
      </c>
      <c r="Q18" s="61" t="n">
        <v>162.9113359953232</v>
      </c>
      <c r="R18" s="61" t="n">
        <v>21.88498733210929</v>
      </c>
      <c r="S18" s="61" t="n">
        <v>17.35999999999999</v>
      </c>
      <c r="T18" s="61" t="n">
        <v>39.8</v>
      </c>
      <c r="U18" s="61" t="n">
        <v>0.7100000000000001</v>
      </c>
      <c r="V18" s="61" t="n">
        <v>17.87637208539108</v>
      </c>
      <c r="W18" s="61" t="n">
        <v>30.97</v>
      </c>
      <c r="X18" s="61" t="n">
        <v>34.98</v>
      </c>
      <c r="Y18" s="61" t="n">
        <v>66.31999999999999</v>
      </c>
      <c r="Z18" s="61" t="n">
        <v>11.17625049949788</v>
      </c>
      <c r="AA18" s="61" t="n">
        <v>242.22</v>
      </c>
      <c r="AB18" s="61" t="n">
        <v>46.17</v>
      </c>
      <c r="AC18" s="61" t="n">
        <v>30.7438370860032</v>
      </c>
      <c r="AD18" s="61" t="n">
        <v>71.28</v>
      </c>
      <c r="AE18" s="61" t="n">
        <v>18.32</v>
      </c>
      <c r="AF18" s="61" t="n">
        <v>54.84000000000002</v>
      </c>
      <c r="AG18" s="61" t="n">
        <v>28.3</v>
      </c>
      <c r="AH18" s="61" t="n">
        <v>53.46</v>
      </c>
      <c r="AI18" s="61" t="n">
        <v>95.15999999999998</v>
      </c>
      <c r="AJ18" s="61" t="n">
        <v>53.16</v>
      </c>
      <c r="AK18" s="61" t="n">
        <v>48.49000000000001</v>
      </c>
      <c r="AL18" s="61" t="n">
        <v>48.64</v>
      </c>
      <c r="AM18" s="61" t="n">
        <v>41.86</v>
      </c>
      <c r="AN18" s="61" t="n">
        <v>31.38</v>
      </c>
    </row>
    <row r="19" ht="19" customHeight="1">
      <c r="A19" s="24" t="inlineStr">
        <is>
          <t>2016-02-01</t>
        </is>
      </c>
      <c r="B19" s="61" t="n">
        <v>95.72645731622279</v>
      </c>
      <c r="C19" s="61" t="n">
        <v>79.06194942208893</v>
      </c>
      <c r="D19" s="61" t="n">
        <v>42.64171290195695</v>
      </c>
      <c r="E19" s="61" t="n">
        <v>44.58285663445593</v>
      </c>
      <c r="F19" s="61" t="n">
        <v>21.52925711503139</v>
      </c>
      <c r="G19" s="61" t="n">
        <v>60.17067789753248</v>
      </c>
      <c r="H19" s="61" t="n">
        <v>100.1138812704565</v>
      </c>
      <c r="I19" s="61" t="n">
        <v>34.12446493380619</v>
      </c>
      <c r="J19" s="61" t="n">
        <v>82.69095679347946</v>
      </c>
      <c r="K19" s="61" t="n">
        <v>51.15022644982846</v>
      </c>
      <c r="L19" s="61" t="n">
        <v>59.69999999999999</v>
      </c>
      <c r="M19" s="61" t="n">
        <v>8.85</v>
      </c>
      <c r="N19" s="61" t="n">
        <v>61.17</v>
      </c>
      <c r="O19" s="61" t="n">
        <v>94.97764388434523</v>
      </c>
      <c r="P19" s="61" t="n">
        <v>15.19</v>
      </c>
      <c r="Q19" s="61" t="n">
        <v>162.7761195864471</v>
      </c>
      <c r="R19" s="61" t="n">
        <v>21.85675569845086</v>
      </c>
      <c r="S19" s="61" t="n">
        <v>19.09999999999999</v>
      </c>
      <c r="T19" s="61" t="n">
        <v>39.87</v>
      </c>
      <c r="U19" s="61" t="n">
        <v>0.7700000000000001</v>
      </c>
      <c r="V19" s="61" t="n">
        <v>17.57050735901004</v>
      </c>
      <c r="W19" s="61" t="n">
        <v>31.7</v>
      </c>
      <c r="X19" s="61" t="n">
        <v>34.66</v>
      </c>
      <c r="Y19" s="61" t="n">
        <v>60.79</v>
      </c>
      <c r="Z19" s="61" t="n">
        <v>9.89578747977041</v>
      </c>
      <c r="AA19" s="61" t="n">
        <v>240.45</v>
      </c>
      <c r="AB19" s="61" t="n">
        <v>47.96</v>
      </c>
      <c r="AC19" s="61" t="n">
        <v>30.89426668086502</v>
      </c>
      <c r="AD19" s="61" t="n">
        <v>70.22</v>
      </c>
      <c r="AE19" s="61" t="n">
        <v>18.31</v>
      </c>
      <c r="AF19" s="61" t="n">
        <v>53.59000000000002</v>
      </c>
      <c r="AG19" s="61" t="n">
        <v>24.69</v>
      </c>
      <c r="AH19" s="61" t="n">
        <v>53.44</v>
      </c>
      <c r="AI19" s="61" t="n">
        <v>90.77999999999999</v>
      </c>
      <c r="AJ19" s="61" t="n">
        <v>52.8</v>
      </c>
      <c r="AK19" s="61" t="n">
        <v>46.60000000000001</v>
      </c>
      <c r="AL19" s="61" t="n">
        <v>48.49</v>
      </c>
      <c r="AM19" s="61" t="n">
        <v>42.78000000000001</v>
      </c>
      <c r="AN19" s="61" t="n">
        <v>31.25</v>
      </c>
    </row>
    <row r="20" ht="19" customHeight="1">
      <c r="A20" s="24" t="inlineStr">
        <is>
          <t>2016-03-01</t>
        </is>
      </c>
      <c r="B20" s="61" t="n">
        <v>103.4725910285969</v>
      </c>
      <c r="C20" s="61" t="n">
        <v>81.30881317644986</v>
      </c>
      <c r="D20" s="61" t="n">
        <v>44.85332939257967</v>
      </c>
      <c r="E20" s="61" t="n">
        <v>48.39446493078449</v>
      </c>
      <c r="F20" s="61" t="n">
        <v>22.58262947652972</v>
      </c>
      <c r="G20" s="61" t="n">
        <v>61.68450506312854</v>
      </c>
      <c r="H20" s="61" t="n">
        <v>108.7987624729462</v>
      </c>
      <c r="I20" s="61" t="n">
        <v>36.14863179206613</v>
      </c>
      <c r="J20" s="61" t="n">
        <v>88.570149531382</v>
      </c>
      <c r="K20" s="61" t="n">
        <v>53.34557033304957</v>
      </c>
      <c r="L20" s="61" t="n">
        <v>63.69999999999999</v>
      </c>
      <c r="M20" s="61" t="n">
        <v>9.42</v>
      </c>
      <c r="N20" s="61" t="n">
        <v>66.05</v>
      </c>
      <c r="O20" s="61" t="n">
        <v>101.4860819091639</v>
      </c>
      <c r="P20" s="61" t="n">
        <v>16.29</v>
      </c>
      <c r="Q20" s="61" t="n">
        <v>173.725418046549</v>
      </c>
      <c r="R20" s="61" t="n">
        <v>24.6371754476065</v>
      </c>
      <c r="S20" s="61" t="n">
        <v>20.77999999999999</v>
      </c>
      <c r="T20" s="61" t="n">
        <v>43.18000000000001</v>
      </c>
      <c r="U20" s="61" t="n">
        <v>0.8700000000000002</v>
      </c>
      <c r="V20" s="61" t="n">
        <v>17.55276114657744</v>
      </c>
      <c r="W20" s="61" t="n">
        <v>34.23</v>
      </c>
      <c r="X20" s="61" t="n">
        <v>36.85000000000001</v>
      </c>
      <c r="Y20" s="61" t="n">
        <v>60.79</v>
      </c>
      <c r="Z20" s="61" t="n">
        <v>10.72684560810901</v>
      </c>
      <c r="AA20" s="61" t="n">
        <v>264.36</v>
      </c>
      <c r="AB20" s="61" t="n">
        <v>52.98</v>
      </c>
      <c r="AC20" s="61" t="n">
        <v>33.4885509368573</v>
      </c>
      <c r="AD20" s="61" t="n">
        <v>74.09</v>
      </c>
      <c r="AE20" s="61" t="n">
        <v>19.05</v>
      </c>
      <c r="AF20" s="61" t="n">
        <v>61.27000000000002</v>
      </c>
      <c r="AG20" s="61" t="n">
        <v>29.38999999999999</v>
      </c>
      <c r="AH20" s="61" t="n">
        <v>54.95</v>
      </c>
      <c r="AI20" s="61" t="n">
        <v>97.35999999999997</v>
      </c>
      <c r="AJ20" s="61" t="n">
        <v>52.82999999999999</v>
      </c>
      <c r="AK20" s="61" t="n">
        <v>47.79000000000001</v>
      </c>
      <c r="AL20" s="61" t="n">
        <v>52.66999999999999</v>
      </c>
      <c r="AM20" s="61" t="n">
        <v>46.00000000000001</v>
      </c>
      <c r="AN20" s="61" t="n">
        <v>33.55</v>
      </c>
    </row>
    <row r="21" ht="19" customHeight="1">
      <c r="A21" s="24" t="inlineStr">
        <is>
          <t>2016-04-01</t>
        </is>
      </c>
      <c r="B21" s="61" t="n">
        <v>103.8292960236082</v>
      </c>
      <c r="C21" s="61" t="n">
        <v>84.2245216046812</v>
      </c>
      <c r="D21" s="61" t="n">
        <v>48.22219321632912</v>
      </c>
      <c r="E21" s="61" t="n">
        <v>43.69785871768984</v>
      </c>
      <c r="F21" s="61" t="n">
        <v>22.43759874893981</v>
      </c>
      <c r="G21" s="61" t="n">
        <v>60.5351258985468</v>
      </c>
      <c r="H21" s="61" t="n">
        <v>111.1452554116587</v>
      </c>
      <c r="I21" s="61" t="n">
        <v>36.0169729804874</v>
      </c>
      <c r="J21" s="61" t="n">
        <v>89.15320363722169</v>
      </c>
      <c r="K21" s="61" t="n">
        <v>56.41520530669726</v>
      </c>
      <c r="L21" s="61" t="n">
        <v>64.66999999999999</v>
      </c>
      <c r="M21" s="61" t="n">
        <v>9.4</v>
      </c>
      <c r="N21" s="61" t="n">
        <v>66.88</v>
      </c>
      <c r="O21" s="61" t="n">
        <v>98.25172047871882</v>
      </c>
      <c r="P21" s="61" t="n">
        <v>16.16</v>
      </c>
      <c r="Q21" s="61" t="n">
        <v>174.4100699190705</v>
      </c>
      <c r="R21" s="61" t="n">
        <v>21.1899418589774</v>
      </c>
      <c r="S21" s="61" t="n">
        <v>20.23999999999999</v>
      </c>
      <c r="T21" s="61" t="n">
        <v>43.17000000000002</v>
      </c>
      <c r="U21" s="61" t="n">
        <v>0.8700000000000002</v>
      </c>
      <c r="V21" s="61" t="n">
        <v>19.37080593509534</v>
      </c>
      <c r="W21" s="61" t="n">
        <v>32.03</v>
      </c>
      <c r="X21" s="61" t="n">
        <v>38.19</v>
      </c>
      <c r="Y21" s="61" t="n">
        <v>63.77</v>
      </c>
      <c r="Z21" s="61" t="n">
        <v>11.55198675282158</v>
      </c>
      <c r="AA21" s="61" t="n">
        <v>276.59</v>
      </c>
      <c r="AB21" s="61" t="n">
        <v>56.73</v>
      </c>
      <c r="AC21" s="61" t="n">
        <v>32.3408982962512</v>
      </c>
      <c r="AD21" s="61" t="n">
        <v>74.44</v>
      </c>
      <c r="AE21" s="61" t="n">
        <v>18.6</v>
      </c>
      <c r="AF21" s="61" t="n">
        <v>65.63000000000001</v>
      </c>
      <c r="AG21" s="61" t="n">
        <v>34.88</v>
      </c>
      <c r="AH21" s="61" t="n">
        <v>59.86</v>
      </c>
      <c r="AI21" s="61" t="n">
        <v>97.97999999999998</v>
      </c>
      <c r="AJ21" s="61" t="n">
        <v>50.65999999999999</v>
      </c>
      <c r="AK21" s="61" t="n">
        <v>45.01000000000001</v>
      </c>
      <c r="AL21" s="61" t="n">
        <v>51.42999999999999</v>
      </c>
      <c r="AM21" s="61" t="n">
        <v>43.99000000000001</v>
      </c>
      <c r="AN21" s="61" t="n">
        <v>32.5</v>
      </c>
    </row>
    <row r="22" ht="19" customHeight="1">
      <c r="A22" s="24" t="inlineStr">
        <is>
          <t>2016-05-01</t>
        </is>
      </c>
      <c r="B22" s="61" t="n">
        <v>102.9872299460979</v>
      </c>
      <c r="C22" s="61" t="n">
        <v>85.28753537873752</v>
      </c>
      <c r="D22" s="61" t="n">
        <v>49.80160762208114</v>
      </c>
      <c r="E22" s="61" t="n">
        <v>46.76529890929699</v>
      </c>
      <c r="F22" s="61" t="n">
        <v>23.09097893199709</v>
      </c>
      <c r="G22" s="61" t="n">
        <v>61.23024669338637</v>
      </c>
      <c r="H22" s="61" t="n">
        <v>112.8249407515535</v>
      </c>
      <c r="I22" s="61" t="n">
        <v>36.58475343874412</v>
      </c>
      <c r="J22" s="61" t="n">
        <v>90.6994874994901</v>
      </c>
      <c r="K22" s="61" t="n">
        <v>57.28837136475564</v>
      </c>
      <c r="L22" s="61" t="n">
        <v>65.35999999999999</v>
      </c>
      <c r="M22" s="61" t="n">
        <v>9.529999999999999</v>
      </c>
      <c r="N22" s="61" t="n">
        <v>67.78</v>
      </c>
      <c r="O22" s="61" t="n">
        <v>102.5453206636388</v>
      </c>
      <c r="P22" s="61" t="n">
        <v>16.56</v>
      </c>
      <c r="Q22" s="61" t="n">
        <v>177.3771340285337</v>
      </c>
      <c r="R22" s="61" t="n">
        <v>22.71080755602178</v>
      </c>
      <c r="S22" s="61" t="n">
        <v>21.38999999999999</v>
      </c>
      <c r="T22" s="61" t="n">
        <v>45.86000000000001</v>
      </c>
      <c r="U22" s="61" t="n">
        <v>1.14</v>
      </c>
      <c r="V22" s="61" t="n">
        <v>20.73329031215214</v>
      </c>
      <c r="W22" s="61" t="n">
        <v>32.63</v>
      </c>
      <c r="X22" s="61" t="n">
        <v>39.17999999999999</v>
      </c>
      <c r="Y22" s="61" t="n">
        <v>63.77</v>
      </c>
      <c r="Z22" s="61" t="n">
        <v>11.7344734875559</v>
      </c>
      <c r="AA22" s="61" t="n">
        <v>282.43</v>
      </c>
      <c r="AB22" s="61" t="n">
        <v>57.02000000000001</v>
      </c>
      <c r="AC22" s="61" t="n">
        <v>32.19665788984992</v>
      </c>
      <c r="AD22" s="61" t="n">
        <v>73.14</v>
      </c>
      <c r="AE22" s="61" t="n">
        <v>19.83</v>
      </c>
      <c r="AF22" s="61" t="n">
        <v>65.55000000000001</v>
      </c>
      <c r="AG22" s="61" t="n">
        <v>32.13999999999999</v>
      </c>
      <c r="AH22" s="61" t="n">
        <v>57.22</v>
      </c>
      <c r="AI22" s="61" t="n">
        <v>94.54999999999997</v>
      </c>
      <c r="AJ22" s="61" t="n">
        <v>47.45999999999999</v>
      </c>
      <c r="AK22" s="61" t="n">
        <v>44.09000000000002</v>
      </c>
      <c r="AL22" s="61" t="n">
        <v>51.59999999999999</v>
      </c>
      <c r="AM22" s="61" t="n">
        <v>45.23</v>
      </c>
      <c r="AN22" s="61" t="n">
        <v>32.43</v>
      </c>
    </row>
    <row r="23" ht="19" customHeight="1">
      <c r="A23" s="24" t="inlineStr">
        <is>
          <t>2016-06-01</t>
        </is>
      </c>
      <c r="B23" s="61" t="n">
        <v>99.53403661191285</v>
      </c>
      <c r="C23" s="61" t="n">
        <v>91.80387135325083</v>
      </c>
      <c r="D23" s="61" t="n">
        <v>47.41339518432786</v>
      </c>
      <c r="E23" s="61" t="n">
        <v>45.15056599829467</v>
      </c>
      <c r="F23" s="61" t="n">
        <v>25.06713418835869</v>
      </c>
      <c r="G23" s="61" t="n">
        <v>63.97289627291472</v>
      </c>
      <c r="H23" s="61" t="n">
        <v>119.7233725235132</v>
      </c>
      <c r="I23" s="61" t="n">
        <v>38.22686412116504</v>
      </c>
      <c r="J23" s="61" t="n">
        <v>90.94750080378257</v>
      </c>
      <c r="K23" s="61" t="n">
        <v>60.3258953976161</v>
      </c>
      <c r="L23" s="61" t="n">
        <v>66.08999999999999</v>
      </c>
      <c r="M23" s="61" t="n">
        <v>9.810000000000002</v>
      </c>
      <c r="N23" s="61" t="n">
        <v>67.73999999999999</v>
      </c>
      <c r="O23" s="61" t="n">
        <v>100.2093382589212</v>
      </c>
      <c r="P23" s="61" t="n">
        <v>16.45</v>
      </c>
      <c r="Q23" s="61" t="n">
        <v>177.9936969464169</v>
      </c>
      <c r="R23" s="61" t="n">
        <v>21.74196450568189</v>
      </c>
      <c r="S23" s="61" t="n">
        <v>21.12999999999999</v>
      </c>
      <c r="T23" s="61" t="n">
        <v>47.41000000000002</v>
      </c>
      <c r="U23" s="61" t="n">
        <v>1.15</v>
      </c>
      <c r="V23" s="61" t="n">
        <v>21.03802821316016</v>
      </c>
      <c r="W23" s="61" t="n">
        <v>32.36</v>
      </c>
      <c r="X23" s="61" t="n">
        <v>40.45</v>
      </c>
      <c r="Y23" s="61" t="n">
        <v>66.93000000000001</v>
      </c>
      <c r="Z23" s="61" t="n">
        <v>10.56419444664195</v>
      </c>
      <c r="AA23" s="61" t="n">
        <v>267.56</v>
      </c>
      <c r="AB23" s="61" t="n">
        <v>52.95000000000001</v>
      </c>
      <c r="AC23" s="61" t="n">
        <v>32.97459353778448</v>
      </c>
      <c r="AD23" s="61" t="n">
        <v>77.17</v>
      </c>
      <c r="AE23" s="61" t="n">
        <v>20.46</v>
      </c>
      <c r="AF23" s="61" t="n">
        <v>68.04000000000002</v>
      </c>
      <c r="AG23" s="61" t="n">
        <v>31.99999999999999</v>
      </c>
      <c r="AH23" s="61" t="n">
        <v>59.31</v>
      </c>
      <c r="AI23" s="61" t="n">
        <v>93.89999999999998</v>
      </c>
      <c r="AJ23" s="61" t="n">
        <v>47.57999999999999</v>
      </c>
      <c r="AK23" s="61" t="n">
        <v>45.88000000000002</v>
      </c>
      <c r="AL23" s="61" t="n">
        <v>56.58999999999999</v>
      </c>
      <c r="AM23" s="61" t="n">
        <v>48.98</v>
      </c>
      <c r="AN23" s="61" t="n">
        <v>35.18</v>
      </c>
    </row>
    <row r="24" ht="19" customHeight="1">
      <c r="A24" s="24" t="inlineStr">
        <is>
          <t>2016-07-01</t>
        </is>
      </c>
      <c r="B24" s="61" t="n">
        <v>107.7577731194453</v>
      </c>
      <c r="C24" s="61" t="n">
        <v>94.77823177471127</v>
      </c>
      <c r="D24" s="61" t="n">
        <v>49.18966757860345</v>
      </c>
      <c r="E24" s="61" t="n">
        <v>50.01239032293367</v>
      </c>
      <c r="F24" s="61" t="n">
        <v>24.66151008075129</v>
      </c>
      <c r="G24" s="61" t="n">
        <v>65.17475577889581</v>
      </c>
      <c r="H24" s="61" t="n">
        <v>121.4191860924331</v>
      </c>
      <c r="I24" s="61" t="n">
        <v>38.78938248037324</v>
      </c>
      <c r="J24" s="61" t="n">
        <v>94.5629655426456</v>
      </c>
      <c r="K24" s="61" t="n">
        <v>57.24330922519361</v>
      </c>
      <c r="L24" s="61" t="n">
        <v>67.94999999999999</v>
      </c>
      <c r="M24" s="61" t="n">
        <v>10.09</v>
      </c>
      <c r="N24" s="61" t="n">
        <v>70.55</v>
      </c>
      <c r="O24" s="61" t="n">
        <v>107.3751076191401</v>
      </c>
      <c r="P24" s="61" t="n">
        <v>17.24</v>
      </c>
      <c r="Q24" s="61" t="n">
        <v>184.4853050677496</v>
      </c>
      <c r="R24" s="61" t="n">
        <v>23.70008931299262</v>
      </c>
      <c r="S24" s="61" t="n">
        <v>22.68999999999999</v>
      </c>
      <c r="T24" s="61" t="n">
        <v>53.07000000000002</v>
      </c>
      <c r="U24" s="61" t="n">
        <v>1.400000000000001</v>
      </c>
      <c r="V24" s="61" t="n">
        <v>22.04183669132288</v>
      </c>
      <c r="W24" s="61" t="n">
        <v>37.07</v>
      </c>
      <c r="X24" s="61" t="n">
        <v>41.18999999999998</v>
      </c>
      <c r="Y24" s="61" t="n">
        <v>70.45</v>
      </c>
      <c r="Z24" s="61" t="n">
        <v>11.53542422728843</v>
      </c>
      <c r="AA24" s="61" t="n">
        <v>286.0899999999999</v>
      </c>
      <c r="AB24" s="61" t="n">
        <v>56.17000000000001</v>
      </c>
      <c r="AC24" s="61" t="n">
        <v>31.73804628011756</v>
      </c>
      <c r="AD24" s="61" t="n">
        <v>79.34</v>
      </c>
      <c r="AE24" s="61" t="n">
        <v>20.44</v>
      </c>
      <c r="AF24" s="61" t="n">
        <v>66.51000000000002</v>
      </c>
      <c r="AG24" s="61" t="n">
        <v>30.13999999999999</v>
      </c>
      <c r="AH24" s="61" t="n">
        <v>60.39</v>
      </c>
      <c r="AI24" s="61" t="n">
        <v>91.79999999999997</v>
      </c>
      <c r="AJ24" s="61" t="n">
        <v>47.83999999999999</v>
      </c>
      <c r="AK24" s="61" t="n">
        <v>46.63000000000002</v>
      </c>
      <c r="AL24" s="61" t="n">
        <v>56.45999999999999</v>
      </c>
      <c r="AM24" s="61" t="n">
        <v>48.42000000000001</v>
      </c>
      <c r="AN24" s="61" t="n">
        <v>35.09</v>
      </c>
    </row>
    <row r="25" ht="19" customHeight="1">
      <c r="A25" s="24" t="inlineStr">
        <is>
          <t>2016-08-01</t>
        </is>
      </c>
      <c r="B25" s="61" t="n">
        <v>105.0823521371429</v>
      </c>
      <c r="C25" s="61" t="n">
        <v>90.92302350988932</v>
      </c>
      <c r="D25" s="61" t="n">
        <v>51.90405452035767</v>
      </c>
      <c r="E25" s="61" t="n">
        <v>51.01664082103945</v>
      </c>
      <c r="F25" s="61" t="n">
        <v>23.41219632870861</v>
      </c>
      <c r="G25" s="61" t="n">
        <v>66.48450141425195</v>
      </c>
      <c r="H25" s="61" t="n">
        <v>115.3567050038996</v>
      </c>
      <c r="I25" s="61" t="n">
        <v>38.02831819425262</v>
      </c>
      <c r="J25" s="61" t="n">
        <v>94.75818407103785</v>
      </c>
      <c r="K25" s="61" t="n">
        <v>56.55671082118597</v>
      </c>
      <c r="L25" s="61" t="n">
        <v>68.40999999999998</v>
      </c>
      <c r="M25" s="61" t="n">
        <v>10.06</v>
      </c>
      <c r="N25" s="61" t="n">
        <v>70.66</v>
      </c>
      <c r="O25" s="61" t="n">
        <v>108.5026536242487</v>
      </c>
      <c r="P25" s="61" t="n">
        <v>17.18</v>
      </c>
      <c r="Q25" s="61" t="n">
        <v>184.7061339779157</v>
      </c>
      <c r="R25" s="61" t="n">
        <v>24.26064382542352</v>
      </c>
      <c r="S25" s="61" t="n">
        <v>23.35999999999998</v>
      </c>
      <c r="T25" s="61" t="n">
        <v>52.91000000000002</v>
      </c>
      <c r="U25" s="61" t="n">
        <v>1.510000000000001</v>
      </c>
      <c r="V25" s="61" t="n">
        <v>20.96597464241941</v>
      </c>
      <c r="W25" s="61" t="n">
        <v>34.81</v>
      </c>
      <c r="X25" s="61" t="n">
        <v>44.08999999999999</v>
      </c>
      <c r="Y25" s="61" t="n">
        <v>66.5</v>
      </c>
      <c r="Z25" s="61" t="n">
        <v>12.90878569409248</v>
      </c>
      <c r="AA25" s="61" t="n">
        <v>292.9999999999999</v>
      </c>
      <c r="AB25" s="61" t="n">
        <v>57.15000000000001</v>
      </c>
      <c r="AC25" s="61" t="n">
        <v>31.59268602815462</v>
      </c>
      <c r="AD25" s="61" t="n">
        <v>78.31</v>
      </c>
      <c r="AE25" s="61" t="n">
        <v>20.15</v>
      </c>
      <c r="AF25" s="61" t="n">
        <v>65.97000000000001</v>
      </c>
      <c r="AG25" s="61" t="n">
        <v>30.30999999999999</v>
      </c>
      <c r="AH25" s="61" t="n">
        <v>59.25</v>
      </c>
      <c r="AI25" s="61" t="n">
        <v>90.94999999999997</v>
      </c>
      <c r="AJ25" s="61" t="n">
        <v>49.67999999999999</v>
      </c>
      <c r="AK25" s="61" t="n">
        <v>45.32000000000001</v>
      </c>
      <c r="AL25" s="61" t="n">
        <v>53.07999999999998</v>
      </c>
      <c r="AM25" s="61" t="n">
        <v>45.50000000000001</v>
      </c>
      <c r="AN25" s="61" t="n">
        <v>34.03</v>
      </c>
    </row>
    <row r="26" ht="19" customHeight="1">
      <c r="A26" s="24" t="inlineStr">
        <is>
          <t>2016-09-01</t>
        </is>
      </c>
      <c r="B26" s="61" t="n">
        <v>100.8201549798255</v>
      </c>
      <c r="C26" s="61" t="n">
        <v>90.00113151638249</v>
      </c>
      <c r="D26" s="61" t="n">
        <v>51.20431109932662</v>
      </c>
      <c r="E26" s="61" t="n">
        <v>51.14093582610349</v>
      </c>
      <c r="F26" s="61" t="n">
        <v>23.67935046614708</v>
      </c>
      <c r="G26" s="61" t="n">
        <v>68.34251525342495</v>
      </c>
      <c r="H26" s="61" t="n">
        <v>119.2540647359008</v>
      </c>
      <c r="I26" s="61" t="n">
        <v>37.78215929339186</v>
      </c>
      <c r="J26" s="61" t="n">
        <v>94.94685671230896</v>
      </c>
      <c r="K26" s="61" t="n">
        <v>56.64757867864762</v>
      </c>
      <c r="L26" s="61" t="n">
        <v>68.08999999999999</v>
      </c>
      <c r="M26" s="61" t="n">
        <v>10.08</v>
      </c>
      <c r="N26" s="61" t="n">
        <v>70.73</v>
      </c>
      <c r="O26" s="61" t="n">
        <v>110.9043598622214</v>
      </c>
      <c r="P26" s="61" t="n">
        <v>17.29</v>
      </c>
      <c r="Q26" s="61" t="n">
        <v>184.7168469336864</v>
      </c>
      <c r="R26" s="61" t="n">
        <v>25.84981303856406</v>
      </c>
      <c r="S26" s="61" t="n">
        <v>23.56999999999998</v>
      </c>
      <c r="T26" s="61" t="n">
        <v>53.40000000000002</v>
      </c>
      <c r="U26" s="61" t="n">
        <v>1.680000000000001</v>
      </c>
      <c r="V26" s="61" t="n">
        <v>20.40576379997396</v>
      </c>
      <c r="W26" s="61" t="n">
        <v>35.03</v>
      </c>
      <c r="X26" s="61" t="n">
        <v>44.13999999999999</v>
      </c>
      <c r="Y26" s="61" t="n">
        <v>68.65000000000001</v>
      </c>
      <c r="Z26" s="61" t="n">
        <v>12.51687496041983</v>
      </c>
      <c r="AA26" s="61" t="n">
        <v>284.86</v>
      </c>
      <c r="AB26" s="61" t="n">
        <v>55.81000000000002</v>
      </c>
      <c r="AC26" s="61" t="n">
        <v>31.0366547540591</v>
      </c>
      <c r="AD26" s="61" t="n">
        <v>79.79000000000001</v>
      </c>
      <c r="AE26" s="61" t="n">
        <v>20.34</v>
      </c>
      <c r="AF26" s="61" t="n">
        <v>67.50000000000001</v>
      </c>
      <c r="AG26" s="61" t="n">
        <v>32.09999999999999</v>
      </c>
      <c r="AH26" s="61" t="n">
        <v>59.34999999999999</v>
      </c>
      <c r="AI26" s="61" t="n">
        <v>90.71999999999997</v>
      </c>
      <c r="AJ26" s="61" t="n">
        <v>45.50999999999998</v>
      </c>
      <c r="AK26" s="61" t="n">
        <v>43.64000000000001</v>
      </c>
      <c r="AL26" s="61" t="n">
        <v>53.33999999999999</v>
      </c>
      <c r="AM26" s="61" t="n">
        <v>45.24000000000001</v>
      </c>
      <c r="AN26" s="61" t="n">
        <v>34.01</v>
      </c>
    </row>
    <row r="27" ht="19" customHeight="1">
      <c r="A27" s="24" t="inlineStr">
        <is>
          <t>2016-10-01</t>
        </is>
      </c>
      <c r="B27" s="61" t="n">
        <v>95.59425395517796</v>
      </c>
      <c r="C27" s="61" t="n">
        <v>88.37071628840086</v>
      </c>
      <c r="D27" s="61" t="n">
        <v>53.64457220924007</v>
      </c>
      <c r="E27" s="61" t="n">
        <v>53.20078041568387</v>
      </c>
      <c r="F27" s="61" t="n">
        <v>24.77890936913593</v>
      </c>
      <c r="G27" s="61" t="n">
        <v>66.60647355526881</v>
      </c>
      <c r="H27" s="61" t="n">
        <v>120.3869791856703</v>
      </c>
      <c r="I27" s="61" t="n">
        <v>36.74258250035531</v>
      </c>
      <c r="J27" s="61" t="n">
        <v>92.86592667742576</v>
      </c>
      <c r="K27" s="61" t="n">
        <v>54.07739096666895</v>
      </c>
      <c r="L27" s="61" t="n">
        <v>67.33999999999999</v>
      </c>
      <c r="M27" s="61" t="n">
        <v>9.920000000000002</v>
      </c>
      <c r="N27" s="61" t="n">
        <v>69</v>
      </c>
      <c r="O27" s="61" t="n">
        <v>109.2884833390289</v>
      </c>
      <c r="P27" s="61" t="n">
        <v>16.84</v>
      </c>
      <c r="Q27" s="61" t="n">
        <v>181.5138568078562</v>
      </c>
      <c r="R27" s="61" t="n">
        <v>25.96187197808624</v>
      </c>
      <c r="S27" s="61" t="n">
        <v>22.98999999999998</v>
      </c>
      <c r="T27" s="61" t="n">
        <v>53.91000000000002</v>
      </c>
      <c r="U27" s="61" t="n">
        <v>1.750000000000001</v>
      </c>
      <c r="V27" s="61" t="n">
        <v>19.10448824244963</v>
      </c>
      <c r="W27" s="61" t="n">
        <v>32.71</v>
      </c>
      <c r="X27" s="61" t="n">
        <v>41.52999999999999</v>
      </c>
      <c r="Y27" s="61" t="n">
        <v>63.16</v>
      </c>
      <c r="Z27" s="61" t="n">
        <v>13.19670399014511</v>
      </c>
      <c r="AA27" s="61" t="n">
        <v>268.1799999999999</v>
      </c>
      <c r="AB27" s="61" t="n">
        <v>58.17000000000002</v>
      </c>
      <c r="AC27" s="61" t="n">
        <v>31.09534506819903</v>
      </c>
      <c r="AD27" s="61" t="n">
        <v>78.64</v>
      </c>
      <c r="AE27" s="61" t="n">
        <v>19.75</v>
      </c>
      <c r="AF27" s="61" t="n">
        <v>68.70000000000002</v>
      </c>
      <c r="AG27" s="61" t="n">
        <v>32.27</v>
      </c>
      <c r="AH27" s="61" t="n">
        <v>59.03999999999999</v>
      </c>
      <c r="AI27" s="61" t="n">
        <v>88.51999999999997</v>
      </c>
      <c r="AJ27" s="61" t="n">
        <v>43.36999999999998</v>
      </c>
      <c r="AK27" s="61" t="n">
        <v>42.78000000000002</v>
      </c>
      <c r="AL27" s="61" t="n">
        <v>53.31999999999999</v>
      </c>
      <c r="AM27" s="61" t="n">
        <v>45.68</v>
      </c>
      <c r="AN27" s="61" t="n">
        <v>34.19</v>
      </c>
    </row>
    <row r="28" ht="19" customHeight="1">
      <c r="A28" s="24" t="inlineStr">
        <is>
          <t>2016-11-01</t>
        </is>
      </c>
      <c r="B28" s="61" t="n">
        <v>101.9226075237718</v>
      </c>
      <c r="C28" s="61" t="n">
        <v>85.38346281777272</v>
      </c>
      <c r="D28" s="61" t="n">
        <v>62.09477272736228</v>
      </c>
      <c r="E28" s="61" t="n">
        <v>53.86410546176648</v>
      </c>
      <c r="F28" s="61" t="n">
        <v>22.28277840446772</v>
      </c>
      <c r="G28" s="61" t="n">
        <v>63.27612010441169</v>
      </c>
      <c r="H28" s="61" t="n">
        <v>135.3962851664245</v>
      </c>
      <c r="I28" s="61" t="n">
        <v>36.96713189064221</v>
      </c>
      <c r="J28" s="61" t="n">
        <v>97.03630857305008</v>
      </c>
      <c r="K28" s="61" t="n">
        <v>57.16227672502494</v>
      </c>
      <c r="L28" s="61" t="n">
        <v>71.37999999999998</v>
      </c>
      <c r="M28" s="61" t="n">
        <v>10.24</v>
      </c>
      <c r="N28" s="61" t="n">
        <v>72.62</v>
      </c>
      <c r="O28" s="61" t="n">
        <v>109.7648718379037</v>
      </c>
      <c r="P28" s="61" t="n">
        <v>17.05</v>
      </c>
      <c r="Q28" s="61" t="n">
        <v>188.200464264944</v>
      </c>
      <c r="R28" s="61" t="n">
        <v>25.40109554335957</v>
      </c>
      <c r="S28" s="61" t="n">
        <v>22.33999999999998</v>
      </c>
      <c r="T28" s="61" t="n">
        <v>56.66000000000003</v>
      </c>
      <c r="U28" s="61" t="n">
        <v>2.270000000000001</v>
      </c>
      <c r="V28" s="61" t="n">
        <v>19.55667237466017</v>
      </c>
      <c r="W28" s="61" t="n">
        <v>31.74</v>
      </c>
      <c r="X28" s="61" t="n">
        <v>43.27999999999998</v>
      </c>
      <c r="Y28" s="61" t="n">
        <v>57.78</v>
      </c>
      <c r="Z28" s="61" t="n">
        <v>16.95445225463494</v>
      </c>
      <c r="AA28" s="61" t="n">
        <v>291.41</v>
      </c>
      <c r="AB28" s="61" t="n">
        <v>63.10000000000002</v>
      </c>
      <c r="AC28" s="61" t="n">
        <v>29.84220266195061</v>
      </c>
      <c r="AD28" s="61" t="n">
        <v>73.97</v>
      </c>
      <c r="AE28" s="61" t="n">
        <v>19.86</v>
      </c>
      <c r="AF28" s="61" t="n">
        <v>73.90000000000002</v>
      </c>
      <c r="AG28" s="61" t="n">
        <v>36.03999999999999</v>
      </c>
      <c r="AH28" s="61" t="n">
        <v>63.43999999999999</v>
      </c>
      <c r="AI28" s="61" t="n">
        <v>94.51999999999995</v>
      </c>
      <c r="AJ28" s="61" t="n">
        <v>43.27999999999999</v>
      </c>
      <c r="AK28" s="61" t="n">
        <v>46.94000000000001</v>
      </c>
      <c r="AL28" s="61" t="n">
        <v>49.71999999999998</v>
      </c>
      <c r="AM28" s="61" t="n">
        <v>42</v>
      </c>
      <c r="AN28" s="61" t="n">
        <v>31.4</v>
      </c>
    </row>
    <row r="29" ht="19" customHeight="1">
      <c r="A29" s="24" t="inlineStr">
        <is>
          <t>2016-12-01</t>
        </is>
      </c>
      <c r="B29" s="61" t="n">
        <v>105.6088083260106</v>
      </c>
      <c r="C29" s="61" t="n">
        <v>88.38300666394565</v>
      </c>
      <c r="D29" s="61" t="n">
        <v>66.83495212448025</v>
      </c>
      <c r="E29" s="61" t="n">
        <v>55.54454645863642</v>
      </c>
      <c r="F29" s="61" t="n">
        <v>23.30298846148941</v>
      </c>
      <c r="G29" s="61" t="n">
        <v>64.51924598706509</v>
      </c>
      <c r="H29" s="61" t="n">
        <v>136.8672630389772</v>
      </c>
      <c r="I29" s="61" t="n">
        <v>37.86647053027281</v>
      </c>
      <c r="J29" s="61" t="n">
        <v>98.9641261014179</v>
      </c>
      <c r="K29" s="61" t="n">
        <v>59.10043174049621</v>
      </c>
      <c r="L29" s="61" t="n">
        <v>73.32999999999998</v>
      </c>
      <c r="M29" s="61" t="n">
        <v>10.47</v>
      </c>
      <c r="N29" s="61" t="n">
        <v>73.43000000000002</v>
      </c>
      <c r="O29" s="61" t="n">
        <v>111.0077394817243</v>
      </c>
      <c r="P29" s="61" t="n">
        <v>17.25</v>
      </c>
      <c r="Q29" s="61" t="n">
        <v>192.015664076523</v>
      </c>
      <c r="R29" s="61" t="n">
        <v>26.61920508014138</v>
      </c>
      <c r="S29" s="61" t="n">
        <v>22.63999999999998</v>
      </c>
      <c r="T29" s="61" t="n">
        <v>55.93000000000003</v>
      </c>
      <c r="U29" s="61" t="n">
        <v>2.630000000000001</v>
      </c>
      <c r="V29" s="61" t="n">
        <v>19.7635624117117</v>
      </c>
      <c r="W29" s="61" t="n">
        <v>32.02</v>
      </c>
      <c r="X29" s="61" t="n">
        <v>41.95999999999998</v>
      </c>
      <c r="Y29" s="61" t="n">
        <v>63.32</v>
      </c>
      <c r="Z29" s="61" t="n">
        <v>17.74115579370226</v>
      </c>
      <c r="AA29" s="61" t="n">
        <v>300.8899999999999</v>
      </c>
      <c r="AB29" s="61" t="n">
        <v>64.88000000000001</v>
      </c>
      <c r="AC29" s="61" t="n">
        <v>30.66316165718087</v>
      </c>
      <c r="AD29" s="61" t="n">
        <v>77.31999999999999</v>
      </c>
      <c r="AE29" s="61" t="n">
        <v>19.63</v>
      </c>
      <c r="AF29" s="61" t="n">
        <v>77.97000000000001</v>
      </c>
      <c r="AG29" s="61" t="n">
        <v>37.23999999999999</v>
      </c>
      <c r="AH29" s="61" t="n">
        <v>63.73999999999999</v>
      </c>
      <c r="AI29" s="61" t="n">
        <v>96.45999999999995</v>
      </c>
      <c r="AJ29" s="61" t="n">
        <v>44.08999999999999</v>
      </c>
      <c r="AK29" s="61" t="n">
        <v>44.96000000000002</v>
      </c>
      <c r="AL29" s="61" t="n">
        <v>52.30999999999999</v>
      </c>
      <c r="AM29" s="61" t="n">
        <v>44.78</v>
      </c>
      <c r="AN29" s="61" t="n">
        <v>32.99</v>
      </c>
    </row>
    <row r="30" ht="19" customHeight="1">
      <c r="A30" s="24" t="inlineStr">
        <is>
          <t>2017-01-01</t>
        </is>
      </c>
      <c r="B30" s="61" t="n">
        <v>108.3655881310398</v>
      </c>
      <c r="C30" s="61" t="n">
        <v>86.87937061174976</v>
      </c>
      <c r="D30" s="61" t="n">
        <v>65.91192387439808</v>
      </c>
      <c r="E30" s="61" t="n">
        <v>57.78815410215643</v>
      </c>
      <c r="F30" s="61" t="n">
        <v>24.13398379600679</v>
      </c>
      <c r="G30" s="61" t="n">
        <v>67.75307595683174</v>
      </c>
      <c r="H30" s="61" t="n">
        <v>138.6289943601766</v>
      </c>
      <c r="I30" s="61" t="n">
        <v>38.34377917103102</v>
      </c>
      <c r="J30" s="61" t="n">
        <v>100.8005980454191</v>
      </c>
      <c r="K30" s="61" t="n">
        <v>54.92948277617826</v>
      </c>
      <c r="L30" s="61" t="n">
        <v>73.68999999999998</v>
      </c>
      <c r="M30" s="61" t="n">
        <v>10.42</v>
      </c>
      <c r="N30" s="61" t="n">
        <v>74.91</v>
      </c>
      <c r="O30" s="61" t="n">
        <v>116.7136482988244</v>
      </c>
      <c r="P30" s="61" t="n">
        <v>17.86</v>
      </c>
      <c r="Q30" s="61" t="n">
        <v>195.4517843851724</v>
      </c>
      <c r="R30" s="61" t="n">
        <v>27.89019226510289</v>
      </c>
      <c r="S30" s="61" t="n">
        <v>23.21999999999998</v>
      </c>
      <c r="T30" s="61" t="n">
        <v>58.26000000000003</v>
      </c>
      <c r="U30" s="61" t="n">
        <v>2.690000000000001</v>
      </c>
      <c r="V30" s="61" t="n">
        <v>19.30722175562527</v>
      </c>
      <c r="W30" s="61" t="n">
        <v>35.05</v>
      </c>
      <c r="X30" s="61" t="n">
        <v>44.17999999999997</v>
      </c>
      <c r="Y30" s="61" t="n">
        <v>66.31999999999999</v>
      </c>
      <c r="Z30" s="61" t="n">
        <v>18.17466093552137</v>
      </c>
      <c r="AA30" s="61" t="n">
        <v>295.6999999999999</v>
      </c>
      <c r="AB30" s="61" t="n">
        <v>67.18000000000002</v>
      </c>
      <c r="AC30" s="61" t="n">
        <v>30.74451102505737</v>
      </c>
      <c r="AD30" s="61" t="n">
        <v>76.69</v>
      </c>
      <c r="AE30" s="61" t="n">
        <v>18.96</v>
      </c>
      <c r="AF30" s="61" t="n">
        <v>73.76000000000002</v>
      </c>
      <c r="AG30" s="61" t="n">
        <v>36.21999999999999</v>
      </c>
      <c r="AH30" s="61" t="n">
        <v>63.54999999999999</v>
      </c>
      <c r="AI30" s="61" t="n">
        <v>97.13999999999996</v>
      </c>
      <c r="AJ30" s="61" t="n">
        <v>45.88999999999999</v>
      </c>
      <c r="AK30" s="61" t="n">
        <v>44.72000000000001</v>
      </c>
      <c r="AL30" s="61" t="n">
        <v>52.92999999999999</v>
      </c>
      <c r="AM30" s="61" t="n">
        <v>45.56</v>
      </c>
      <c r="AN30" s="61" t="n">
        <v>33.15</v>
      </c>
    </row>
    <row r="31" ht="19" customHeight="1">
      <c r="A31" s="24" t="inlineStr">
        <is>
          <t>2017-02-01</t>
        </is>
      </c>
      <c r="B31" s="61" t="n">
        <v>114.139114751205</v>
      </c>
      <c r="C31" s="61" t="n">
        <v>94.37336679286095</v>
      </c>
      <c r="D31" s="61" t="n">
        <v>70.5770743398503</v>
      </c>
      <c r="E31" s="61" t="n">
        <v>57.53597867537883</v>
      </c>
      <c r="F31" s="61" t="n">
        <v>25.75005112462395</v>
      </c>
      <c r="G31" s="61" t="n">
        <v>70.43689833506778</v>
      </c>
      <c r="H31" s="61" t="n">
        <v>141.4340634771274</v>
      </c>
      <c r="I31" s="61" t="n">
        <v>40.08554760215807</v>
      </c>
      <c r="J31" s="61" t="n">
        <v>104.5250472880091</v>
      </c>
      <c r="K31" s="61" t="n">
        <v>53.73359405598653</v>
      </c>
      <c r="L31" s="61" t="n">
        <v>76.33999999999999</v>
      </c>
      <c r="M31" s="61" t="n">
        <v>10.77</v>
      </c>
      <c r="N31" s="61" t="n">
        <v>77.26000000000001</v>
      </c>
      <c r="O31" s="61" t="n">
        <v>121.8199871255462</v>
      </c>
      <c r="P31" s="61" t="n">
        <v>18.64</v>
      </c>
      <c r="Q31" s="61" t="n">
        <v>203.1314758972346</v>
      </c>
      <c r="R31" s="61" t="n">
        <v>31.62128640594382</v>
      </c>
      <c r="S31" s="61" t="n">
        <v>25.82999999999997</v>
      </c>
      <c r="T31" s="61" t="n">
        <v>59.10000000000003</v>
      </c>
      <c r="U31" s="61" t="n">
        <v>2.500000000000001</v>
      </c>
      <c r="V31" s="61" t="n">
        <v>20.97301023425711</v>
      </c>
      <c r="W31" s="61" t="n">
        <v>37.82</v>
      </c>
      <c r="X31" s="61" t="n">
        <v>46.94999999999997</v>
      </c>
      <c r="Y31" s="61" t="n">
        <v>71.77</v>
      </c>
      <c r="Z31" s="61" t="n">
        <v>19.81230693377746</v>
      </c>
      <c r="AA31" s="61" t="n">
        <v>306.36</v>
      </c>
      <c r="AB31" s="61" t="n">
        <v>70.42000000000002</v>
      </c>
      <c r="AC31" s="61" t="n">
        <v>31.03295602749446</v>
      </c>
      <c r="AD31" s="61" t="n">
        <v>81.56999999999999</v>
      </c>
      <c r="AE31" s="61" t="n">
        <v>20.15</v>
      </c>
      <c r="AF31" s="61" t="n">
        <v>75.24000000000001</v>
      </c>
      <c r="AG31" s="61" t="n">
        <v>35.52</v>
      </c>
      <c r="AH31" s="61" t="n">
        <v>61.38</v>
      </c>
      <c r="AI31" s="61" t="n">
        <v>101.9099999999999</v>
      </c>
      <c r="AJ31" s="61" t="n">
        <v>49.57999999999998</v>
      </c>
      <c r="AK31" s="61" t="n">
        <v>46.26000000000001</v>
      </c>
      <c r="AL31" s="61" t="n">
        <v>56.24999999999999</v>
      </c>
      <c r="AM31" s="61" t="n">
        <v>48.07</v>
      </c>
      <c r="AN31" s="61" t="n">
        <v>34.49</v>
      </c>
    </row>
    <row r="32" ht="19" customHeight="1">
      <c r="A32" s="24" t="inlineStr">
        <is>
          <t>2017-03-01</t>
        </is>
      </c>
      <c r="B32" s="61" t="n">
        <v>116.3552415153011</v>
      </c>
      <c r="C32" s="61" t="n">
        <v>96.18039414017197</v>
      </c>
      <c r="D32" s="61" t="n">
        <v>68.41194741217689</v>
      </c>
      <c r="E32" s="61" t="n">
        <v>59.22663042937876</v>
      </c>
      <c r="F32" s="61" t="n">
        <v>25.23308686673363</v>
      </c>
      <c r="G32" s="61" t="n">
        <v>69.49332860332095</v>
      </c>
      <c r="H32" s="61" t="n">
        <v>140.7852494200687</v>
      </c>
      <c r="I32" s="61" t="n">
        <v>40.13484761458754</v>
      </c>
      <c r="J32" s="61" t="n">
        <v>104.5828164001943</v>
      </c>
      <c r="K32" s="61" t="n">
        <v>54.18950087224128</v>
      </c>
      <c r="L32" s="61" t="n">
        <v>75.62999999999998</v>
      </c>
      <c r="M32" s="61" t="n">
        <v>10.79</v>
      </c>
      <c r="N32" s="61" t="n">
        <v>77.27</v>
      </c>
      <c r="O32" s="61" t="n">
        <v>124.289156444594</v>
      </c>
      <c r="P32" s="61" t="n">
        <v>18.88</v>
      </c>
      <c r="Q32" s="61" t="n">
        <v>203.3853902421061</v>
      </c>
      <c r="R32" s="61" t="n">
        <v>33.16089521976282</v>
      </c>
      <c r="S32" s="61" t="n">
        <v>25.53999999999997</v>
      </c>
      <c r="T32" s="61" t="n">
        <v>62.14000000000004</v>
      </c>
      <c r="U32" s="61" t="n">
        <v>2.680000000000001</v>
      </c>
      <c r="V32" s="61" t="n">
        <v>21.02831606224485</v>
      </c>
      <c r="W32" s="61" t="n">
        <v>37.26</v>
      </c>
      <c r="X32" s="61" t="n">
        <v>45.60999999999997</v>
      </c>
      <c r="Y32" s="61" t="n">
        <v>72.90000000000002</v>
      </c>
      <c r="Z32" s="61" t="n">
        <v>18.99504927275914</v>
      </c>
      <c r="AA32" s="61" t="n">
        <v>305.1499999999999</v>
      </c>
      <c r="AB32" s="61" t="n">
        <v>69.58000000000001</v>
      </c>
      <c r="AC32" s="61" t="n">
        <v>31.66500424290644</v>
      </c>
      <c r="AD32" s="61" t="n">
        <v>83.23</v>
      </c>
      <c r="AE32" s="61" t="n">
        <v>20.63</v>
      </c>
      <c r="AF32" s="61" t="n">
        <v>71.81000000000002</v>
      </c>
      <c r="AG32" s="61" t="n">
        <v>37.23999999999999</v>
      </c>
      <c r="AH32" s="61" t="n">
        <v>59.65999999999999</v>
      </c>
      <c r="AI32" s="61" t="n">
        <v>103.4699999999999</v>
      </c>
      <c r="AJ32" s="61" t="n">
        <v>48.49999999999998</v>
      </c>
      <c r="AK32" s="61" t="n">
        <v>47.50000000000002</v>
      </c>
      <c r="AL32" s="61" t="n">
        <v>55.87999999999999</v>
      </c>
      <c r="AM32" s="61" t="n">
        <v>48.19</v>
      </c>
      <c r="AN32" s="61" t="n">
        <v>33.78</v>
      </c>
    </row>
    <row r="33" ht="19" customHeight="1">
      <c r="A33" s="24" t="inlineStr">
        <is>
          <t>2017-04-01</t>
        </is>
      </c>
      <c r="B33" s="61" t="n">
        <v>123.7012025120907</v>
      </c>
      <c r="C33" s="61" t="n">
        <v>95.34638095270735</v>
      </c>
      <c r="D33" s="61" t="n">
        <v>68.14706504011426</v>
      </c>
      <c r="E33" s="61" t="n">
        <v>61.56475139050021</v>
      </c>
      <c r="F33" s="61" t="n">
        <v>26.25325877720651</v>
      </c>
      <c r="G33" s="61" t="n">
        <v>68.06147353667244</v>
      </c>
      <c r="H33" s="61" t="n">
        <v>150.1160122950843</v>
      </c>
      <c r="I33" s="61" t="n">
        <v>40.69833272772227</v>
      </c>
      <c r="J33" s="61" t="n">
        <v>105.6948404670024</v>
      </c>
      <c r="K33" s="61" t="n">
        <v>53.95163199395001</v>
      </c>
      <c r="L33" s="61" t="n">
        <v>75.60999999999999</v>
      </c>
      <c r="M33" s="61" t="n">
        <v>10.82</v>
      </c>
      <c r="N33" s="61" t="n">
        <v>77.78000000000002</v>
      </c>
      <c r="O33" s="61" t="n">
        <v>127.678521740838</v>
      </c>
      <c r="P33" s="61" t="n">
        <v>19.31</v>
      </c>
      <c r="Q33" s="61" t="n">
        <v>205.4041936256493</v>
      </c>
      <c r="R33" s="61" t="n">
        <v>33.15858722145553</v>
      </c>
      <c r="S33" s="61" t="n">
        <v>25.96999999999997</v>
      </c>
      <c r="T33" s="61" t="n">
        <v>61.45000000000004</v>
      </c>
      <c r="U33" s="61" t="n">
        <v>2.570000000000001</v>
      </c>
      <c r="V33" s="61" t="n">
        <v>20.84999594203701</v>
      </c>
      <c r="W33" s="61" t="n">
        <v>36.84</v>
      </c>
      <c r="X33" s="61" t="n">
        <v>44.73999999999997</v>
      </c>
      <c r="Y33" s="61" t="n">
        <v>71.12000000000002</v>
      </c>
      <c r="Z33" s="61" t="n">
        <v>18.7937017504679</v>
      </c>
      <c r="AA33" s="61" t="n">
        <v>306</v>
      </c>
      <c r="AB33" s="61" t="n">
        <v>69.99000000000001</v>
      </c>
      <c r="AC33" s="61" t="n">
        <v>32.19472809888602</v>
      </c>
      <c r="AD33" s="61" t="n">
        <v>84.29000000000001</v>
      </c>
      <c r="AE33" s="61" t="n">
        <v>21.51000000000001</v>
      </c>
      <c r="AF33" s="61" t="n">
        <v>71.36000000000001</v>
      </c>
      <c r="AG33" s="61" t="n">
        <v>35.77999999999999</v>
      </c>
      <c r="AH33" s="61" t="n">
        <v>55.45</v>
      </c>
      <c r="AI33" s="61" t="n">
        <v>111.7099999999999</v>
      </c>
      <c r="AJ33" s="61" t="n">
        <v>48.21999999999998</v>
      </c>
      <c r="AK33" s="61" t="n">
        <v>48.86000000000002</v>
      </c>
      <c r="AL33" s="61" t="n">
        <v>56.21999999999999</v>
      </c>
      <c r="AM33" s="61" t="n">
        <v>48.69000000000001</v>
      </c>
      <c r="AN33" s="61" t="n">
        <v>33.79</v>
      </c>
    </row>
    <row r="34" ht="19" customHeight="1">
      <c r="A34" s="24" t="inlineStr">
        <is>
          <t>2017-05-01</t>
        </is>
      </c>
      <c r="B34" s="61" t="n">
        <v>122.3518431993302</v>
      </c>
      <c r="C34" s="61" t="n">
        <v>99.69437872590309</v>
      </c>
      <c r="D34" s="61" t="n">
        <v>64.34807115049952</v>
      </c>
      <c r="E34" s="61" t="n">
        <v>63.16575678717349</v>
      </c>
      <c r="F34" s="61" t="n">
        <v>27.99857670712488</v>
      </c>
      <c r="G34" s="61" t="n">
        <v>68.6537811645228</v>
      </c>
      <c r="H34" s="61" t="n">
        <v>150.373480621136</v>
      </c>
      <c r="I34" s="61" t="n">
        <v>41.5141600693507</v>
      </c>
      <c r="J34" s="61" t="n">
        <v>106.7637513080216</v>
      </c>
      <c r="K34" s="61" t="n">
        <v>53.69406177740585</v>
      </c>
      <c r="L34" s="61" t="n">
        <v>75.65999999999998</v>
      </c>
      <c r="M34" s="61" t="n">
        <v>11</v>
      </c>
      <c r="N34" s="61" t="n">
        <v>78.22000000000001</v>
      </c>
      <c r="O34" s="61" t="n">
        <v>132.6545367686437</v>
      </c>
      <c r="P34" s="61" t="n">
        <v>19.85</v>
      </c>
      <c r="Q34" s="61" t="n">
        <v>208.3030630102881</v>
      </c>
      <c r="R34" s="61" t="n">
        <v>35.40697154518076</v>
      </c>
      <c r="S34" s="61" t="n">
        <v>24.03999999999998</v>
      </c>
      <c r="T34" s="61" t="n">
        <v>64.02000000000002</v>
      </c>
      <c r="U34" s="61" t="n">
        <v>3.560000000000002</v>
      </c>
      <c r="V34" s="61" t="n">
        <v>20.26369405614693</v>
      </c>
      <c r="W34" s="61" t="n">
        <v>38.54</v>
      </c>
      <c r="X34" s="61" t="n">
        <v>46.73999999999997</v>
      </c>
      <c r="Y34" s="61" t="n">
        <v>69.41000000000001</v>
      </c>
      <c r="Z34" s="61" t="n">
        <v>18.10416083324323</v>
      </c>
      <c r="AA34" s="61" t="n">
        <v>325.62</v>
      </c>
      <c r="AB34" s="61" t="n">
        <v>67.95000000000002</v>
      </c>
      <c r="AC34" s="61" t="n">
        <v>33.92570984985073</v>
      </c>
      <c r="AD34" s="61" t="n">
        <v>87.56</v>
      </c>
      <c r="AE34" s="61" t="n">
        <v>22.64</v>
      </c>
      <c r="AF34" s="61" t="n">
        <v>69.91000000000001</v>
      </c>
      <c r="AG34" s="61" t="n">
        <v>33.56</v>
      </c>
      <c r="AH34" s="61" t="n">
        <v>53.53999999999999</v>
      </c>
      <c r="AI34" s="61" t="n">
        <v>120.4599999999999</v>
      </c>
      <c r="AJ34" s="61" t="n">
        <v>46.10999999999998</v>
      </c>
      <c r="AK34" s="61" t="n">
        <v>51.96000000000003</v>
      </c>
      <c r="AL34" s="61" t="n">
        <v>58.98999999999999</v>
      </c>
      <c r="AM34" s="61" t="n">
        <v>51.98000000000002</v>
      </c>
      <c r="AN34" s="61" t="n">
        <v>34.75</v>
      </c>
    </row>
    <row r="35" ht="19" customHeight="1">
      <c r="A35" s="24" t="inlineStr">
        <is>
          <t>2017-06-01</t>
        </is>
      </c>
      <c r="B35" s="61" t="n">
        <v>122.2640916009248</v>
      </c>
      <c r="C35" s="61" t="n">
        <v>102.8348383898785</v>
      </c>
      <c r="D35" s="61" t="n">
        <v>71.59356480166812</v>
      </c>
      <c r="E35" s="61" t="n">
        <v>62.34272902108574</v>
      </c>
      <c r="F35" s="61" t="n">
        <v>27.73925733348842</v>
      </c>
      <c r="G35" s="61" t="n">
        <v>67.92114721324405</v>
      </c>
      <c r="H35" s="61" t="n">
        <v>159.8207413073113</v>
      </c>
      <c r="I35" s="61" t="n">
        <v>41.36699930476959</v>
      </c>
      <c r="J35" s="61" t="n">
        <v>107.7751142883699</v>
      </c>
      <c r="K35" s="61" t="n">
        <v>53.84746211440175</v>
      </c>
      <c r="L35" s="61" t="n">
        <v>77.01999999999998</v>
      </c>
      <c r="M35" s="61" t="n">
        <v>11</v>
      </c>
      <c r="N35" s="61" t="n">
        <v>79.13000000000001</v>
      </c>
      <c r="O35" s="61" t="n">
        <v>129.5796046063465</v>
      </c>
      <c r="P35" s="61" t="n">
        <v>19.77</v>
      </c>
      <c r="Q35" s="61" t="n">
        <v>209.6309950369787</v>
      </c>
      <c r="R35" s="61" t="n">
        <v>33.38133870308097</v>
      </c>
      <c r="S35" s="61" t="n">
        <v>23.85999999999998</v>
      </c>
      <c r="T35" s="61" t="n">
        <v>59.70000000000003</v>
      </c>
      <c r="U35" s="61" t="n">
        <v>3.560000000000002</v>
      </c>
      <c r="V35" s="61" t="n">
        <v>20.8470858080234</v>
      </c>
      <c r="W35" s="61" t="n">
        <v>41.03</v>
      </c>
      <c r="X35" s="61" t="n">
        <v>46.33999999999997</v>
      </c>
      <c r="Y35" s="61" t="n">
        <v>71.79000000000002</v>
      </c>
      <c r="Z35" s="61" t="n">
        <v>19.59871362250996</v>
      </c>
      <c r="AA35" s="61" t="n">
        <v>338.17</v>
      </c>
      <c r="AB35" s="61" t="n">
        <v>74.40000000000002</v>
      </c>
      <c r="AC35" s="61" t="n">
        <v>33.73843993147955</v>
      </c>
      <c r="AD35" s="61" t="n">
        <v>86.52</v>
      </c>
      <c r="AE35" s="61" t="n">
        <v>21.8</v>
      </c>
      <c r="AF35" s="61" t="n">
        <v>70.48000000000002</v>
      </c>
      <c r="AG35" s="61" t="n">
        <v>33.00999999999999</v>
      </c>
      <c r="AH35" s="61" t="n">
        <v>50.65999999999999</v>
      </c>
      <c r="AI35" s="61" t="n">
        <v>123.0399999999999</v>
      </c>
      <c r="AJ35" s="61" t="n">
        <v>51.51999999999998</v>
      </c>
      <c r="AK35" s="61" t="n">
        <v>47.63000000000003</v>
      </c>
      <c r="AL35" s="61" t="n">
        <v>57.54999999999999</v>
      </c>
      <c r="AM35" s="61" t="n">
        <v>50.30000000000002</v>
      </c>
      <c r="AN35" s="61" t="n">
        <v>32.87</v>
      </c>
    </row>
    <row r="36" ht="19" customHeight="1">
      <c r="A36" s="24" t="inlineStr">
        <is>
          <t>2017-07-01</t>
        </is>
      </c>
      <c r="B36" s="61" t="n">
        <v>119.235436681488</v>
      </c>
      <c r="C36" s="61" t="n">
        <v>103.1691043689177</v>
      </c>
      <c r="D36" s="61" t="n">
        <v>72.30241755513184</v>
      </c>
      <c r="E36" s="61" t="n">
        <v>65.75244108394783</v>
      </c>
      <c r="F36" s="61" t="n">
        <v>28.91905574262207</v>
      </c>
      <c r="G36" s="61" t="n">
        <v>71.33673394136449</v>
      </c>
      <c r="H36" s="61" t="n">
        <v>165.3285062289684</v>
      </c>
      <c r="I36" s="61" t="n">
        <v>42.20397366500306</v>
      </c>
      <c r="J36" s="61" t="n">
        <v>109.8015787231012</v>
      </c>
      <c r="K36" s="61" t="n">
        <v>53.38723824827014</v>
      </c>
      <c r="L36" s="61" t="n">
        <v>78.20999999999998</v>
      </c>
      <c r="M36" s="61" t="n">
        <v>11.18</v>
      </c>
      <c r="N36" s="61" t="n">
        <v>80.39000000000001</v>
      </c>
      <c r="O36" s="61" t="n">
        <v>134.8422210882241</v>
      </c>
      <c r="P36" s="61" t="n">
        <v>20.27</v>
      </c>
      <c r="Q36" s="61" t="n">
        <v>213.9397505089688</v>
      </c>
      <c r="R36" s="61" t="n">
        <v>34.47304200402653</v>
      </c>
      <c r="S36" s="61" t="n">
        <v>24.19999999999998</v>
      </c>
      <c r="T36" s="61" t="n">
        <v>63.54000000000003</v>
      </c>
      <c r="U36" s="61" t="n">
        <v>4.010000000000002</v>
      </c>
      <c r="V36" s="61" t="n">
        <v>20.5802431096807</v>
      </c>
      <c r="W36" s="61" t="n">
        <v>41.74</v>
      </c>
      <c r="X36" s="61" t="n">
        <v>46.18999999999997</v>
      </c>
      <c r="Y36" s="61" t="n">
        <v>72.10000000000001</v>
      </c>
      <c r="Z36" s="61" t="n">
        <v>19.48562904490807</v>
      </c>
      <c r="AA36" s="61" t="n">
        <v>341.47</v>
      </c>
      <c r="AB36" s="61" t="n">
        <v>75.56000000000002</v>
      </c>
      <c r="AC36" s="61" t="n">
        <v>34.48318225452703</v>
      </c>
      <c r="AD36" s="61" t="n">
        <v>87.36</v>
      </c>
      <c r="AE36" s="61" t="n">
        <v>23.04</v>
      </c>
      <c r="AF36" s="61" t="n">
        <v>73.77000000000001</v>
      </c>
      <c r="AG36" s="61" t="n">
        <v>34.27999999999999</v>
      </c>
      <c r="AH36" s="61" t="n">
        <v>52.78</v>
      </c>
      <c r="AI36" s="61" t="n">
        <v>124.6299999999999</v>
      </c>
      <c r="AJ36" s="61" t="n">
        <v>51.55999999999998</v>
      </c>
      <c r="AK36" s="61" t="n">
        <v>44.09000000000003</v>
      </c>
      <c r="AL36" s="61" t="n">
        <v>58.60999999999999</v>
      </c>
      <c r="AM36" s="61" t="n">
        <v>51.08000000000002</v>
      </c>
      <c r="AN36" s="61" t="n">
        <v>32.91</v>
      </c>
    </row>
    <row r="37" ht="19" customHeight="1">
      <c r="A37" s="24" t="inlineStr">
        <is>
          <t>2017-08-01</t>
        </is>
      </c>
      <c r="B37" s="61" t="n">
        <v>120.1570536349486</v>
      </c>
      <c r="C37" s="61" t="n">
        <v>103.5515934032859</v>
      </c>
      <c r="D37" s="61" t="n">
        <v>71.58572837280187</v>
      </c>
      <c r="E37" s="61" t="n">
        <v>67.98491491087296</v>
      </c>
      <c r="F37" s="61" t="n">
        <v>29.98944791557925</v>
      </c>
      <c r="G37" s="61" t="n">
        <v>72.47567733123782</v>
      </c>
      <c r="H37" s="61" t="n">
        <v>171.4396406872144</v>
      </c>
      <c r="I37" s="61" t="n">
        <v>42.52523887994772</v>
      </c>
      <c r="J37" s="61" t="n">
        <v>109.9661427411967</v>
      </c>
      <c r="K37" s="61" t="n">
        <v>51.40612624614338</v>
      </c>
      <c r="L37" s="61" t="n">
        <v>77.83999999999999</v>
      </c>
      <c r="M37" s="61" t="n">
        <v>11.18</v>
      </c>
      <c r="N37" s="61" t="n">
        <v>79.59000000000002</v>
      </c>
      <c r="O37" s="61" t="n">
        <v>137.6383093847095</v>
      </c>
      <c r="P37" s="61" t="n">
        <v>20.51</v>
      </c>
      <c r="Q37" s="61" t="n">
        <v>214.5640267009539</v>
      </c>
      <c r="R37" s="61" t="n">
        <v>38.16162302541537</v>
      </c>
      <c r="S37" s="61" t="n">
        <v>24.77999999999998</v>
      </c>
      <c r="T37" s="61" t="n">
        <v>64.67000000000003</v>
      </c>
      <c r="U37" s="61" t="n">
        <v>4.180000000000002</v>
      </c>
      <c r="V37" s="61" t="n">
        <v>21.2575594906634</v>
      </c>
      <c r="W37" s="61" t="n">
        <v>43.24</v>
      </c>
      <c r="X37" s="61" t="n">
        <v>46.17999999999997</v>
      </c>
      <c r="Y37" s="61" t="n">
        <v>71.36000000000001</v>
      </c>
      <c r="Z37" s="61" t="n">
        <v>19.39852828307733</v>
      </c>
      <c r="AA37" s="61" t="n">
        <v>337.48</v>
      </c>
      <c r="AB37" s="61" t="n">
        <v>76.33000000000001</v>
      </c>
      <c r="AC37" s="61" t="n">
        <v>34.26490371085588</v>
      </c>
      <c r="AD37" s="61" t="n">
        <v>87.31</v>
      </c>
      <c r="AE37" s="61" t="n">
        <v>22.63</v>
      </c>
      <c r="AF37" s="61" t="n">
        <v>73.44000000000001</v>
      </c>
      <c r="AG37" s="61" t="n">
        <v>32.97999999999999</v>
      </c>
      <c r="AH37" s="61" t="n">
        <v>48.87</v>
      </c>
      <c r="AI37" s="61" t="n">
        <v>129.27</v>
      </c>
      <c r="AJ37" s="61" t="n">
        <v>46.26999999999998</v>
      </c>
      <c r="AK37" s="61" t="n">
        <v>45.01000000000003</v>
      </c>
      <c r="AL37" s="61" t="n">
        <v>60.72999999999998</v>
      </c>
      <c r="AM37" s="61" t="n">
        <v>53.76000000000002</v>
      </c>
      <c r="AN37" s="61" t="n">
        <v>33.53</v>
      </c>
    </row>
    <row r="38" ht="19" customHeight="1">
      <c r="A38" s="24" t="inlineStr">
        <is>
          <t>2017-09-01</t>
        </is>
      </c>
      <c r="B38" s="61" t="n">
        <v>131.1328707120517</v>
      </c>
      <c r="C38" s="61" t="n">
        <v>101.7053757723561</v>
      </c>
      <c r="D38" s="61" t="n">
        <v>75.22443559906372</v>
      </c>
      <c r="E38" s="61" t="n">
        <v>67.73032887665487</v>
      </c>
      <c r="F38" s="61" t="n">
        <v>29.20039753077601</v>
      </c>
      <c r="G38" s="61" t="n">
        <v>71.46239829282662</v>
      </c>
      <c r="H38" s="61" t="n">
        <v>169.4514078568239</v>
      </c>
      <c r="I38" s="61" t="n">
        <v>42.74493940298657</v>
      </c>
      <c r="J38" s="61" t="n">
        <v>112.6493755659344</v>
      </c>
      <c r="K38" s="61" t="n">
        <v>55.21124302689164</v>
      </c>
      <c r="L38" s="61" t="n">
        <v>80.15999999999998</v>
      </c>
      <c r="M38" s="61" t="n">
        <v>11.49</v>
      </c>
      <c r="N38" s="61" t="n">
        <v>81.92000000000002</v>
      </c>
      <c r="O38" s="61" t="n">
        <v>137.2322763720246</v>
      </c>
      <c r="P38" s="61" t="n">
        <v>20.72</v>
      </c>
      <c r="Q38" s="61" t="n">
        <v>218.8872772749514</v>
      </c>
      <c r="R38" s="61" t="n">
        <v>35.86276685436435</v>
      </c>
      <c r="S38" s="61" t="n">
        <v>25.87999999999998</v>
      </c>
      <c r="T38" s="61" t="n">
        <v>69.99000000000004</v>
      </c>
      <c r="U38" s="61" t="n">
        <v>4.410000000000003</v>
      </c>
      <c r="V38" s="61" t="n">
        <v>22.37309244005495</v>
      </c>
      <c r="W38" s="61" t="n">
        <v>45.29000000000001</v>
      </c>
      <c r="X38" s="61" t="n">
        <v>46.63999999999997</v>
      </c>
      <c r="Y38" s="61" t="n">
        <v>75.09000000000002</v>
      </c>
      <c r="Z38" s="61" t="n">
        <v>20.57592195721871</v>
      </c>
      <c r="AA38" s="61" t="n">
        <v>360.09</v>
      </c>
      <c r="AB38" s="61" t="n">
        <v>80.20000000000002</v>
      </c>
      <c r="AC38" s="61" t="n">
        <v>34.12818674504956</v>
      </c>
      <c r="AD38" s="61" t="n">
        <v>84.06</v>
      </c>
      <c r="AE38" s="61" t="n">
        <v>22.65</v>
      </c>
      <c r="AF38" s="61" t="n">
        <v>80.18000000000002</v>
      </c>
      <c r="AG38" s="61" t="n">
        <v>37.81</v>
      </c>
      <c r="AH38" s="61" t="n">
        <v>54.09999999999999</v>
      </c>
      <c r="AI38" s="61" t="n">
        <v>126.6199999999999</v>
      </c>
      <c r="AJ38" s="61" t="n">
        <v>45.42999999999998</v>
      </c>
      <c r="AK38" s="61" t="n">
        <v>44.07000000000003</v>
      </c>
      <c r="AL38" s="61" t="n">
        <v>58.37999999999999</v>
      </c>
      <c r="AM38" s="61" t="n">
        <v>51.28000000000002</v>
      </c>
      <c r="AN38" s="61" t="n">
        <v>34.14</v>
      </c>
    </row>
    <row r="39" ht="19" customHeight="1">
      <c r="A39" s="24" t="inlineStr">
        <is>
          <t>2017-10-01</t>
        </is>
      </c>
      <c r="B39" s="61" t="n">
        <v>132.912726413331</v>
      </c>
      <c r="C39" s="61" t="n">
        <v>109.0589291109584</v>
      </c>
      <c r="D39" s="61" t="n">
        <v>79.70446357069054</v>
      </c>
      <c r="E39" s="61" t="n">
        <v>75.6317417285299</v>
      </c>
      <c r="F39" s="61" t="n">
        <v>30.89803175856863</v>
      </c>
      <c r="G39" s="61" t="n">
        <v>68.32599195454299</v>
      </c>
      <c r="H39" s="61" t="n">
        <v>181.884456878796</v>
      </c>
      <c r="I39" s="61" t="n">
        <v>43.57706488419068</v>
      </c>
      <c r="J39" s="61" t="n">
        <v>115.0933763150352</v>
      </c>
      <c r="K39" s="61" t="n">
        <v>56.13390648769295</v>
      </c>
      <c r="L39" s="61" t="n">
        <v>81.62999999999998</v>
      </c>
      <c r="M39" s="61" t="n">
        <v>11.91</v>
      </c>
      <c r="N39" s="61" t="n">
        <v>82.82000000000002</v>
      </c>
      <c r="O39" s="61" t="n">
        <v>143.5537439508256</v>
      </c>
      <c r="P39" s="61" t="n">
        <v>21.32</v>
      </c>
      <c r="Q39" s="61" t="n">
        <v>224.0451370766584</v>
      </c>
      <c r="R39" s="61" t="n">
        <v>39.3345337252348</v>
      </c>
      <c r="S39" s="61" t="n">
        <v>26.49999999999998</v>
      </c>
      <c r="T39" s="61" t="n">
        <v>75.98000000000006</v>
      </c>
      <c r="U39" s="61" t="n">
        <v>5.100000000000003</v>
      </c>
      <c r="V39" s="61" t="n">
        <v>21.97194289260477</v>
      </c>
      <c r="W39" s="61" t="n">
        <v>46.26000000000001</v>
      </c>
      <c r="X39" s="61" t="n">
        <v>40.11999999999998</v>
      </c>
      <c r="Y39" s="61" t="n">
        <v>71.93000000000002</v>
      </c>
      <c r="Z39" s="61" t="n">
        <v>22.2405140435577</v>
      </c>
      <c r="AA39" s="61" t="n">
        <v>379.21</v>
      </c>
      <c r="AB39" s="61" t="n">
        <v>85.01000000000002</v>
      </c>
      <c r="AC39" s="61" t="n">
        <v>34.86368329759213</v>
      </c>
      <c r="AD39" s="61" t="n">
        <v>83.16</v>
      </c>
      <c r="AE39" s="61" t="n">
        <v>25.31</v>
      </c>
      <c r="AF39" s="61" t="n">
        <v>79.08000000000001</v>
      </c>
      <c r="AG39" s="61" t="n">
        <v>38.84999999999999</v>
      </c>
      <c r="AH39" s="61" t="n">
        <v>49.63999999999999</v>
      </c>
      <c r="AI39" s="61" t="n">
        <v>134.8799999999999</v>
      </c>
      <c r="AJ39" s="61" t="n">
        <v>48.17999999999998</v>
      </c>
      <c r="AK39" s="61" t="n">
        <v>45.00000000000003</v>
      </c>
      <c r="AL39" s="61" t="n">
        <v>61.42999999999998</v>
      </c>
      <c r="AM39" s="61" t="n">
        <v>54.33000000000002</v>
      </c>
      <c r="AN39" s="61" t="n">
        <v>36.27</v>
      </c>
    </row>
    <row r="40" ht="19" customHeight="1">
      <c r="A40" s="24" t="inlineStr">
        <is>
          <t>2017-11-01</t>
        </is>
      </c>
      <c r="B40" s="61" t="n">
        <v>144.8995675067493</v>
      </c>
      <c r="C40" s="61" t="n">
        <v>109.6637814920543</v>
      </c>
      <c r="D40" s="61" t="n">
        <v>82.80200411045269</v>
      </c>
      <c r="E40" s="61" t="n">
        <v>76.91624438077895</v>
      </c>
      <c r="F40" s="61" t="n">
        <v>31.68922965522007</v>
      </c>
      <c r="G40" s="61" t="n">
        <v>71.21446424539036</v>
      </c>
      <c r="H40" s="61" t="n">
        <v>198.0815638717486</v>
      </c>
      <c r="I40" s="61" t="n">
        <v>44.91868958591448</v>
      </c>
      <c r="J40" s="61" t="n">
        <v>118.5810502069494</v>
      </c>
      <c r="K40" s="61" t="n">
        <v>56.61261133403451</v>
      </c>
      <c r="L40" s="61" t="n">
        <v>84.50999999999999</v>
      </c>
      <c r="M40" s="61" t="n">
        <v>12.41</v>
      </c>
      <c r="N40" s="61" t="n">
        <v>85.96000000000002</v>
      </c>
      <c r="O40" s="61" t="n">
        <v>146.384193120304</v>
      </c>
      <c r="P40" s="61" t="n">
        <v>21.84</v>
      </c>
      <c r="Q40" s="61" t="n">
        <v>230.8933007365435</v>
      </c>
      <c r="R40" s="61" t="n">
        <v>40.13215940011511</v>
      </c>
      <c r="S40" s="61" t="n">
        <v>28.94999999999997</v>
      </c>
      <c r="T40" s="61" t="n">
        <v>76.45000000000006</v>
      </c>
      <c r="U40" s="61" t="n">
        <v>4.960000000000004</v>
      </c>
      <c r="V40" s="61" t="n">
        <v>22.93163341426796</v>
      </c>
      <c r="W40" s="61" t="n">
        <v>48.08000000000001</v>
      </c>
      <c r="X40" s="61" t="n">
        <v>40.25999999999997</v>
      </c>
      <c r="Y40" s="61" t="n">
        <v>74.77000000000001</v>
      </c>
      <c r="Z40" s="61" t="n">
        <v>22.97133733502901</v>
      </c>
      <c r="AA40" s="61" t="n">
        <v>403.66</v>
      </c>
      <c r="AB40" s="61" t="n">
        <v>86.96000000000001</v>
      </c>
      <c r="AC40" s="61" t="n">
        <v>34.98898337536367</v>
      </c>
      <c r="AD40" s="61" t="n">
        <v>88.52000000000001</v>
      </c>
      <c r="AE40" s="61" t="n">
        <v>28.18</v>
      </c>
      <c r="AF40" s="61" t="n">
        <v>81.96000000000001</v>
      </c>
      <c r="AG40" s="61" t="n">
        <v>38.63999999999999</v>
      </c>
      <c r="AH40" s="61" t="n">
        <v>48.73999999999999</v>
      </c>
      <c r="AI40" s="61" t="n">
        <v>139.7999999999999</v>
      </c>
      <c r="AJ40" s="61" t="n">
        <v>52.93999999999998</v>
      </c>
      <c r="AK40" s="61" t="n">
        <v>47.69000000000003</v>
      </c>
      <c r="AL40" s="61" t="n">
        <v>62.64999999999997</v>
      </c>
      <c r="AM40" s="61" t="n">
        <v>57.15000000000003</v>
      </c>
      <c r="AN40" s="61" t="n">
        <v>35.98</v>
      </c>
    </row>
    <row r="41" ht="19" customHeight="1">
      <c r="A41" s="24" t="inlineStr">
        <is>
          <t>2017-12-01</t>
        </is>
      </c>
      <c r="B41" s="61" t="n">
        <v>152.7238865206827</v>
      </c>
      <c r="C41" s="61" t="n">
        <v>109.9707508139139</v>
      </c>
      <c r="D41" s="61" t="n">
        <v>84.71917140809261</v>
      </c>
      <c r="E41" s="61" t="n">
        <v>78.16820378343284</v>
      </c>
      <c r="F41" s="61" t="n">
        <v>31.3182878599864</v>
      </c>
      <c r="G41" s="61" t="n">
        <v>72.710139407759</v>
      </c>
      <c r="H41" s="61" t="n">
        <v>191.3882776951727</v>
      </c>
      <c r="I41" s="61" t="n">
        <v>45.02602441175284</v>
      </c>
      <c r="J41" s="61" t="n">
        <v>119.9578033549126</v>
      </c>
      <c r="K41" s="61" t="n">
        <v>56.85051071759857</v>
      </c>
      <c r="L41" s="61" t="n">
        <v>85.89999999999999</v>
      </c>
      <c r="M41" s="61" t="n">
        <v>12.65</v>
      </c>
      <c r="N41" s="61" t="n">
        <v>87.03000000000004</v>
      </c>
      <c r="O41" s="61" t="n">
        <v>147.2670361890125</v>
      </c>
      <c r="P41" s="61" t="n">
        <v>22.03</v>
      </c>
      <c r="Q41" s="61" t="n">
        <v>233.6935746878763</v>
      </c>
      <c r="R41" s="61" t="n">
        <v>39.52014396926336</v>
      </c>
      <c r="S41" s="61" t="n">
        <v>29.71999999999997</v>
      </c>
      <c r="T41" s="61" t="n">
        <v>82.07000000000005</v>
      </c>
      <c r="U41" s="61" t="n">
        <v>4.780000000000004</v>
      </c>
      <c r="V41" s="61" t="n">
        <v>22.90640861751227</v>
      </c>
      <c r="W41" s="61" t="n">
        <v>48.68000000000001</v>
      </c>
      <c r="X41" s="61" t="n">
        <v>41.32999999999997</v>
      </c>
      <c r="Y41" s="61" t="n">
        <v>74.61000000000001</v>
      </c>
      <c r="Z41" s="61" t="n">
        <v>24.0721927341356</v>
      </c>
      <c r="AA41" s="61" t="n">
        <v>415.82</v>
      </c>
      <c r="AB41" s="61" t="n">
        <v>88.38000000000001</v>
      </c>
      <c r="AC41" s="61" t="n">
        <v>35.07306190241467</v>
      </c>
      <c r="AD41" s="61" t="n">
        <v>91.10000000000001</v>
      </c>
      <c r="AE41" s="61" t="n">
        <v>28.78</v>
      </c>
      <c r="AF41" s="61" t="n">
        <v>86.23000000000002</v>
      </c>
      <c r="AG41" s="61" t="n">
        <v>41.68999999999999</v>
      </c>
      <c r="AH41" s="61" t="n">
        <v>52.66999999999999</v>
      </c>
      <c r="AI41" s="61" t="n">
        <v>139.9199999999999</v>
      </c>
      <c r="AJ41" s="61" t="n">
        <v>54.97999999999998</v>
      </c>
      <c r="AK41" s="61" t="n">
        <v>47.37000000000003</v>
      </c>
      <c r="AL41" s="61" t="n">
        <v>59.08999999999997</v>
      </c>
      <c r="AM41" s="61" t="n">
        <v>54.16000000000003</v>
      </c>
      <c r="AN41" s="61" t="n">
        <v>33.79</v>
      </c>
    </row>
    <row r="42" ht="19" customHeight="1">
      <c r="A42" s="24" t="inlineStr">
        <is>
          <t>2018-01-01</t>
        </is>
      </c>
      <c r="B42" s="61" t="n">
        <v>161.8858778457111</v>
      </c>
      <c r="C42" s="61" t="n">
        <v>108.7665465690241</v>
      </c>
      <c r="D42" s="61" t="n">
        <v>92.11251462960381</v>
      </c>
      <c r="E42" s="61" t="n">
        <v>86.82207695943326</v>
      </c>
      <c r="F42" s="61" t="n">
        <v>31.7654297039813</v>
      </c>
      <c r="G42" s="61" t="n">
        <v>68.84688915703695</v>
      </c>
      <c r="H42" s="61" t="n">
        <v>205.5562056708018</v>
      </c>
      <c r="I42" s="61" t="n">
        <v>46.59570528532249</v>
      </c>
      <c r="J42" s="61" t="n">
        <v>126.2332162605932</v>
      </c>
      <c r="K42" s="61" t="n">
        <v>59.33823966350687</v>
      </c>
      <c r="L42" s="61" t="n">
        <v>89.94999999999999</v>
      </c>
      <c r="M42" s="61" t="n">
        <v>13.23</v>
      </c>
      <c r="N42" s="61" t="n">
        <v>90.85000000000004</v>
      </c>
      <c r="O42" s="61" t="n">
        <v>160.1633578151205</v>
      </c>
      <c r="P42" s="61" t="n">
        <v>23.53</v>
      </c>
      <c r="Q42" s="61" t="n">
        <v>246.8643108637103</v>
      </c>
      <c r="R42" s="61" t="n">
        <v>39.0996496374304</v>
      </c>
      <c r="S42" s="61" t="n">
        <v>32.47999999999996</v>
      </c>
      <c r="T42" s="61" t="n">
        <v>86.66000000000007</v>
      </c>
      <c r="U42" s="61" t="n">
        <v>6.070000000000005</v>
      </c>
      <c r="V42" s="61" t="n">
        <v>23.42498680220413</v>
      </c>
      <c r="W42" s="61" t="n">
        <v>53.27000000000002</v>
      </c>
      <c r="X42" s="61" t="n">
        <v>43.51999999999997</v>
      </c>
      <c r="Y42" s="61" t="n">
        <v>71.95000000000002</v>
      </c>
      <c r="Z42" s="61" t="n">
        <v>26.09452171792307</v>
      </c>
      <c r="AA42" s="61" t="n">
        <v>454.75</v>
      </c>
      <c r="AB42" s="61" t="n">
        <v>88.77000000000001</v>
      </c>
      <c r="AC42" s="61" t="n">
        <v>36.38026999257957</v>
      </c>
      <c r="AD42" s="61" t="n">
        <v>91.39</v>
      </c>
      <c r="AE42" s="61" t="n">
        <v>31.06000000000001</v>
      </c>
      <c r="AF42" s="61" t="n">
        <v>86.34000000000002</v>
      </c>
      <c r="AG42" s="61" t="n">
        <v>44.66999999999999</v>
      </c>
      <c r="AH42" s="61" t="n">
        <v>57.51</v>
      </c>
      <c r="AI42" s="61" t="n">
        <v>139.1199999999999</v>
      </c>
      <c r="AJ42" s="61" t="n">
        <v>59.96999999999998</v>
      </c>
      <c r="AK42" s="61" t="n">
        <v>46.86000000000003</v>
      </c>
      <c r="AL42" s="61" t="n">
        <v>55.14999999999998</v>
      </c>
      <c r="AM42" s="61" t="n">
        <v>50.63000000000003</v>
      </c>
      <c r="AN42" s="61" t="n">
        <v>31.7</v>
      </c>
    </row>
    <row r="43" ht="19" customHeight="1">
      <c r="A43" s="24" t="inlineStr">
        <is>
          <t>2018-02-01</t>
        </is>
      </c>
      <c r="B43" s="61" t="n">
        <v>146.8737994017588</v>
      </c>
      <c r="C43" s="61" t="n">
        <v>102.8804753343952</v>
      </c>
      <c r="D43" s="61" t="n">
        <v>91.97714055135326</v>
      </c>
      <c r="E43" s="61" t="n">
        <v>86.09143419252261</v>
      </c>
      <c r="F43" s="61" t="n">
        <v>30.72645667064243</v>
      </c>
      <c r="G43" s="61" t="n">
        <v>62.61126544205727</v>
      </c>
      <c r="H43" s="61" t="n">
        <v>196.3366133285456</v>
      </c>
      <c r="I43" s="61" t="n">
        <v>44.61653173526104</v>
      </c>
      <c r="J43" s="61" t="n">
        <v>121.4873333270775</v>
      </c>
      <c r="K43" s="61" t="n">
        <v>52.00728740949881</v>
      </c>
      <c r="L43" s="61" t="n">
        <v>85.95999999999998</v>
      </c>
      <c r="M43" s="61" t="n">
        <v>12.48</v>
      </c>
      <c r="N43" s="61" t="n">
        <v>86.86000000000004</v>
      </c>
      <c r="O43" s="61" t="n">
        <v>158.092445598571</v>
      </c>
      <c r="P43" s="61" t="n">
        <v>22.84</v>
      </c>
      <c r="Q43" s="61" t="n">
        <v>237.8883245207058</v>
      </c>
      <c r="R43" s="61" t="n">
        <v>41.76565924795859</v>
      </c>
      <c r="S43" s="61" t="n">
        <v>35.00999999999996</v>
      </c>
      <c r="T43" s="61" t="n">
        <v>85.62000000000008</v>
      </c>
      <c r="U43" s="61" t="n">
        <v>5.980000000000005</v>
      </c>
      <c r="V43" s="61" t="n">
        <v>23.1759791924967</v>
      </c>
      <c r="W43" s="61" t="n">
        <v>51.71000000000002</v>
      </c>
      <c r="X43" s="61" t="n">
        <v>39.82999999999997</v>
      </c>
      <c r="Y43" s="61" t="n">
        <v>68.55000000000001</v>
      </c>
      <c r="Z43" s="61" t="n">
        <v>26.17606709829158</v>
      </c>
      <c r="AA43" s="61" t="n">
        <v>444.74</v>
      </c>
      <c r="AB43" s="61" t="n">
        <v>87.08000000000001</v>
      </c>
      <c r="AC43" s="61" t="n">
        <v>33.03946979916099</v>
      </c>
      <c r="AD43" s="61" t="n">
        <v>83.36</v>
      </c>
      <c r="AE43" s="61" t="n">
        <v>26.23000000000001</v>
      </c>
      <c r="AF43" s="61" t="n">
        <v>77.86000000000001</v>
      </c>
      <c r="AG43" s="61" t="n">
        <v>41.46999999999999</v>
      </c>
      <c r="AH43" s="61" t="n">
        <v>51.67</v>
      </c>
      <c r="AI43" s="61" t="n">
        <v>129.0399999999999</v>
      </c>
      <c r="AJ43" s="61" t="n">
        <v>58.91999999999998</v>
      </c>
      <c r="AK43" s="61" t="n">
        <v>47.35000000000004</v>
      </c>
      <c r="AL43" s="61" t="n">
        <v>53.55999999999998</v>
      </c>
      <c r="AM43" s="61" t="n">
        <v>48.75000000000003</v>
      </c>
      <c r="AN43" s="61" t="n">
        <v>30.66</v>
      </c>
    </row>
    <row r="44" ht="19" customHeight="1">
      <c r="A44" s="24" t="inlineStr">
        <is>
          <t>2018-03-01</t>
        </is>
      </c>
      <c r="B44" s="61" t="n">
        <v>144.44551402017</v>
      </c>
      <c r="C44" s="61" t="n">
        <v>101.510118411152</v>
      </c>
      <c r="D44" s="61" t="n">
        <v>87.57339132086013</v>
      </c>
      <c r="E44" s="61" t="n">
        <v>83.79615494227035</v>
      </c>
      <c r="F44" s="61" t="n">
        <v>32.98425692480973</v>
      </c>
      <c r="G44" s="61" t="n">
        <v>63.21726623101507</v>
      </c>
      <c r="H44" s="61" t="n">
        <v>186.3952343717506</v>
      </c>
      <c r="I44" s="61" t="n">
        <v>44.49948021963706</v>
      </c>
      <c r="J44" s="61" t="n">
        <v>119.102314652047</v>
      </c>
      <c r="K44" s="61" t="n">
        <v>51.23135417952073</v>
      </c>
      <c r="L44" s="61" t="n">
        <v>83.83999999999999</v>
      </c>
      <c r="M44" s="61" t="n">
        <v>12.19</v>
      </c>
      <c r="N44" s="61" t="n">
        <v>86.06000000000004</v>
      </c>
      <c r="O44" s="61" t="n">
        <v>151.6438547426053</v>
      </c>
      <c r="P44" s="61" t="n">
        <v>22.28</v>
      </c>
      <c r="Q44" s="61" t="n">
        <v>231.3678055455933</v>
      </c>
      <c r="R44" s="61" t="n">
        <v>39.34116272861459</v>
      </c>
      <c r="S44" s="61" t="n">
        <v>33.52999999999997</v>
      </c>
      <c r="T44" s="61" t="n">
        <v>82.09000000000007</v>
      </c>
      <c r="U44" s="61" t="n">
        <v>5.720000000000004</v>
      </c>
      <c r="V44" s="61" t="n">
        <v>22.65266558233012</v>
      </c>
      <c r="W44" s="61" t="n">
        <v>51.35000000000002</v>
      </c>
      <c r="X44" s="61" t="n">
        <v>40.35999999999997</v>
      </c>
      <c r="Y44" s="61" t="n">
        <v>68.86000000000001</v>
      </c>
      <c r="Z44" s="61" t="n">
        <v>24.54713044276489</v>
      </c>
      <c r="AA44" s="61" t="n">
        <v>440.82</v>
      </c>
      <c r="AB44" s="61" t="n">
        <v>83.31000000000002</v>
      </c>
      <c r="AC44" s="61" t="n">
        <v>33.49306868003367</v>
      </c>
      <c r="AD44" s="61" t="n">
        <v>83.53</v>
      </c>
      <c r="AE44" s="61" t="n">
        <v>26.08000000000001</v>
      </c>
      <c r="AF44" s="61" t="n">
        <v>79.33000000000001</v>
      </c>
      <c r="AG44" s="61" t="n">
        <v>45.27</v>
      </c>
      <c r="AH44" s="61" t="n">
        <v>50.99</v>
      </c>
      <c r="AI44" s="61" t="n">
        <v>127.9299999999999</v>
      </c>
      <c r="AJ44" s="61" t="n">
        <v>58.57999999999998</v>
      </c>
      <c r="AK44" s="61" t="n">
        <v>48.01000000000003</v>
      </c>
      <c r="AL44" s="61" t="n">
        <v>55.07999999999998</v>
      </c>
      <c r="AM44" s="61" t="n">
        <v>50.98000000000003</v>
      </c>
      <c r="AN44" s="61" t="n">
        <v>31.79</v>
      </c>
    </row>
    <row r="45" ht="19" customHeight="1">
      <c r="A45" s="24" t="inlineStr">
        <is>
          <t>2018-04-01</t>
        </is>
      </c>
      <c r="B45" s="61" t="n">
        <v>149.7617222517648</v>
      </c>
      <c r="C45" s="61" t="n">
        <v>100.1952093255357</v>
      </c>
      <c r="D45" s="61" t="n">
        <v>87.06505020303071</v>
      </c>
      <c r="E45" s="61" t="n">
        <v>85.86193831124619</v>
      </c>
      <c r="F45" s="61" t="n">
        <v>33.10139302585187</v>
      </c>
      <c r="G45" s="61" t="n">
        <v>58.21716281016795</v>
      </c>
      <c r="H45" s="61" t="n">
        <v>205.905745460098</v>
      </c>
      <c r="I45" s="61" t="n">
        <v>44.5937318097225</v>
      </c>
      <c r="J45" s="61" t="n">
        <v>119.6377008757223</v>
      </c>
      <c r="K45" s="61" t="n">
        <v>53.38746322151712</v>
      </c>
      <c r="L45" s="61" t="n">
        <v>84.18999999999998</v>
      </c>
      <c r="M45" s="61" t="n">
        <v>12.05</v>
      </c>
      <c r="N45" s="61" t="n">
        <v>86.38000000000004</v>
      </c>
      <c r="O45" s="61" t="n">
        <v>152.4108693598934</v>
      </c>
      <c r="P45" s="61" t="n">
        <v>22.34</v>
      </c>
      <c r="Q45" s="61" t="n">
        <v>232.5635143646529</v>
      </c>
      <c r="R45" s="61" t="n">
        <v>38.7502584644308</v>
      </c>
      <c r="S45" s="61" t="n">
        <v>34.90999999999995</v>
      </c>
      <c r="T45" s="61" t="n">
        <v>80.15000000000008</v>
      </c>
      <c r="U45" s="61" t="n">
        <v>5.560000000000004</v>
      </c>
      <c r="V45" s="61" t="n">
        <v>23.3675384027773</v>
      </c>
      <c r="W45" s="61" t="n">
        <v>50.06000000000002</v>
      </c>
      <c r="X45" s="61" t="n">
        <v>43.61999999999997</v>
      </c>
      <c r="Y45" s="61" t="n">
        <v>72.15000000000003</v>
      </c>
      <c r="Z45" s="61" t="n">
        <v>24.48993562883324</v>
      </c>
      <c r="AA45" s="61" t="n">
        <v>424.37</v>
      </c>
      <c r="AB45" s="61" t="n">
        <v>88.52000000000001</v>
      </c>
      <c r="AC45" s="61" t="n">
        <v>33.3232588218259</v>
      </c>
      <c r="AD45" s="61" t="n">
        <v>77.25</v>
      </c>
      <c r="AE45" s="61" t="n">
        <v>25.93000000000001</v>
      </c>
      <c r="AF45" s="61" t="n">
        <v>87.03000000000002</v>
      </c>
      <c r="AG45" s="61" t="n">
        <v>50.02</v>
      </c>
      <c r="AH45" s="61" t="n">
        <v>53.96</v>
      </c>
      <c r="AI45" s="61" t="n">
        <v>136.9799999999999</v>
      </c>
      <c r="AJ45" s="61" t="n">
        <v>60.29999999999997</v>
      </c>
      <c r="AK45" s="61" t="n">
        <v>47.74000000000004</v>
      </c>
      <c r="AL45" s="61" t="n">
        <v>56.98999999999998</v>
      </c>
      <c r="AM45" s="61" t="n">
        <v>52.02000000000003</v>
      </c>
      <c r="AN45" s="61" t="n">
        <v>32.83</v>
      </c>
    </row>
    <row r="46" ht="19" customHeight="1">
      <c r="A46" s="24" t="inlineStr">
        <is>
          <t>2018-05-01</t>
        </is>
      </c>
      <c r="B46" s="61" t="n">
        <v>152.0262676065548</v>
      </c>
      <c r="C46" s="61" t="n">
        <v>95.45608643975375</v>
      </c>
      <c r="D46" s="61" t="n">
        <v>85.64837228343269</v>
      </c>
      <c r="E46" s="61" t="n">
        <v>91.13959612827846</v>
      </c>
      <c r="F46" s="61" t="n">
        <v>33.48509014020854</v>
      </c>
      <c r="G46" s="61" t="n">
        <v>58.88512231791209</v>
      </c>
      <c r="H46" s="61" t="n">
        <v>210.3566773564088</v>
      </c>
      <c r="I46" s="61" t="n">
        <v>45.03933891123567</v>
      </c>
      <c r="J46" s="61" t="n">
        <v>122.8934059366105</v>
      </c>
      <c r="K46" s="61" t="n">
        <v>56.34931677031651</v>
      </c>
      <c r="L46" s="61" t="n">
        <v>84.69999999999999</v>
      </c>
      <c r="M46" s="61" t="n">
        <v>12.26</v>
      </c>
      <c r="N46" s="61" t="n">
        <v>87.63000000000002</v>
      </c>
      <c r="O46" s="61" t="n">
        <v>161.0571379786802</v>
      </c>
      <c r="P46" s="61" t="n">
        <v>23.32</v>
      </c>
      <c r="Q46" s="61" t="n">
        <v>238.2169008353432</v>
      </c>
      <c r="R46" s="61" t="n">
        <v>43.98634838917854</v>
      </c>
      <c r="S46" s="61" t="n">
        <v>33.65999999999995</v>
      </c>
      <c r="T46" s="61" t="n">
        <v>88.96000000000008</v>
      </c>
      <c r="U46" s="61" t="n">
        <v>6.240000000000006</v>
      </c>
      <c r="V46" s="61" t="n">
        <v>23.15746423253633</v>
      </c>
      <c r="W46" s="61" t="n">
        <v>52.99000000000002</v>
      </c>
      <c r="X46" s="61" t="n">
        <v>44.10999999999996</v>
      </c>
      <c r="Y46" s="61" t="n">
        <v>76.21000000000002</v>
      </c>
      <c r="Z46" s="61" t="n">
        <v>23.86666676707944</v>
      </c>
      <c r="AA46" s="61" t="n">
        <v>434.7300000000001</v>
      </c>
      <c r="AB46" s="61" t="n">
        <v>88.12000000000002</v>
      </c>
      <c r="AC46" s="61" t="n">
        <v>33.16130778395183</v>
      </c>
      <c r="AD46" s="61" t="n">
        <v>77.42</v>
      </c>
      <c r="AE46" s="61" t="n">
        <v>24.35000000000001</v>
      </c>
      <c r="AF46" s="61" t="n">
        <v>87.22000000000001</v>
      </c>
      <c r="AG46" s="61" t="n">
        <v>51.66999999999999</v>
      </c>
      <c r="AH46" s="61" t="n">
        <v>54.05</v>
      </c>
      <c r="AI46" s="61" t="n">
        <v>130.8999999999999</v>
      </c>
      <c r="AJ46" s="61" t="n">
        <v>63.30999999999997</v>
      </c>
      <c r="AK46" s="61" t="n">
        <v>47.24000000000004</v>
      </c>
      <c r="AL46" s="61" t="n">
        <v>55.49999999999998</v>
      </c>
      <c r="AM46" s="61" t="n">
        <v>50.98000000000003</v>
      </c>
      <c r="AN46" s="61" t="n">
        <v>32.41</v>
      </c>
    </row>
    <row r="47" ht="19" customHeight="1">
      <c r="A47" s="24" t="inlineStr">
        <is>
          <t>2018-06-01</t>
        </is>
      </c>
      <c r="B47" s="61" t="n">
        <v>158.993988104587</v>
      </c>
      <c r="C47" s="61" t="n">
        <v>96.82862526082501</v>
      </c>
      <c r="D47" s="61" t="n">
        <v>83.39929116396195</v>
      </c>
      <c r="E47" s="61" t="n">
        <v>90.92754664264457</v>
      </c>
      <c r="F47" s="61" t="n">
        <v>33.96263266350942</v>
      </c>
      <c r="G47" s="61" t="n">
        <v>62.82047722510732</v>
      </c>
      <c r="H47" s="61" t="n">
        <v>214.4485047322708</v>
      </c>
      <c r="I47" s="61" t="n">
        <v>45.80309111373798</v>
      </c>
      <c r="J47" s="61" t="n">
        <v>123.758019298849</v>
      </c>
      <c r="K47" s="61" t="n">
        <v>57.38278589230946</v>
      </c>
      <c r="L47" s="61" t="n">
        <v>84.87999999999997</v>
      </c>
      <c r="M47" s="61" t="n">
        <v>12.35</v>
      </c>
      <c r="N47" s="61" t="n">
        <v>88.48000000000003</v>
      </c>
      <c r="O47" s="61" t="n">
        <v>162.901403265674</v>
      </c>
      <c r="P47" s="61" t="n">
        <v>23.57999999999999</v>
      </c>
      <c r="Q47" s="61" t="n">
        <v>239.5868862320473</v>
      </c>
      <c r="R47" s="61" t="n">
        <v>43.57199698735248</v>
      </c>
      <c r="S47" s="61" t="n">
        <v>33.90999999999995</v>
      </c>
      <c r="T47" s="61" t="n">
        <v>87.64000000000009</v>
      </c>
      <c r="U47" s="61" t="n">
        <v>5.860000000000005</v>
      </c>
      <c r="V47" s="61" t="n">
        <v>23.38304109162546</v>
      </c>
      <c r="W47" s="61" t="n">
        <v>52.52000000000002</v>
      </c>
      <c r="X47" s="61" t="n">
        <v>45.31999999999996</v>
      </c>
      <c r="Y47" s="61" t="n">
        <v>76.46000000000002</v>
      </c>
      <c r="Z47" s="61" t="n">
        <v>23.16808943080703</v>
      </c>
      <c r="AA47" s="61" t="n">
        <v>408.2900000000001</v>
      </c>
      <c r="AB47" s="61" t="n">
        <v>87.85000000000001</v>
      </c>
      <c r="AC47" s="61" t="n">
        <v>34.12577125954029</v>
      </c>
      <c r="AD47" s="61" t="n">
        <v>84.08</v>
      </c>
      <c r="AE47" s="61" t="n">
        <v>25.27000000000001</v>
      </c>
      <c r="AF47" s="61" t="n">
        <v>88.72000000000001</v>
      </c>
      <c r="AG47" s="61" t="n">
        <v>53.38</v>
      </c>
      <c r="AH47" s="61" t="n">
        <v>53.14000000000001</v>
      </c>
      <c r="AI47" s="61" t="n">
        <v>128.9999999999999</v>
      </c>
      <c r="AJ47" s="61" t="n">
        <v>70.44999999999996</v>
      </c>
      <c r="AK47" s="61" t="n">
        <v>40.72000000000003</v>
      </c>
      <c r="AL47" s="61" t="n">
        <v>56.88999999999998</v>
      </c>
      <c r="AM47" s="61" t="n">
        <v>51.95000000000003</v>
      </c>
      <c r="AN47" s="61" t="n">
        <v>33.43</v>
      </c>
    </row>
    <row r="48" ht="19" customHeight="1">
      <c r="A48" s="24" t="inlineStr">
        <is>
          <t>2018-07-01</t>
        </is>
      </c>
      <c r="B48" s="61" t="n">
        <v>160.9661603446275</v>
      </c>
      <c r="C48" s="61" t="n">
        <v>105.7501884070316</v>
      </c>
      <c r="D48" s="61" t="n">
        <v>92.50331682986828</v>
      </c>
      <c r="E48" s="61" t="n">
        <v>97.81558153810255</v>
      </c>
      <c r="F48" s="61" t="n">
        <v>34.06633447174788</v>
      </c>
      <c r="G48" s="61" t="n">
        <v>65.68064015576081</v>
      </c>
      <c r="H48" s="61" t="n">
        <v>221.3362814695275</v>
      </c>
      <c r="I48" s="61" t="n">
        <v>47.31089676523537</v>
      </c>
      <c r="J48" s="61" t="n">
        <v>127.8647957581365</v>
      </c>
      <c r="K48" s="61" t="n">
        <v>56.53658231964456</v>
      </c>
      <c r="L48" s="61" t="n">
        <v>88.82999999999997</v>
      </c>
      <c r="M48" s="61" t="n">
        <v>12.91</v>
      </c>
      <c r="N48" s="61" t="n">
        <v>91.23000000000005</v>
      </c>
      <c r="O48" s="61" t="n">
        <v>167.4567781065954</v>
      </c>
      <c r="P48" s="61" t="n">
        <v>24.17999999999999</v>
      </c>
      <c r="Q48" s="61" t="n">
        <v>248.4628616062859</v>
      </c>
      <c r="R48" s="61" t="n">
        <v>44.79127217904957</v>
      </c>
      <c r="S48" s="61" t="n">
        <v>33.58999999999996</v>
      </c>
      <c r="T48" s="61" t="n">
        <v>88.98000000000009</v>
      </c>
      <c r="U48" s="61" t="n">
        <v>6.050000000000004</v>
      </c>
      <c r="V48" s="61" t="n">
        <v>25.73551532368954</v>
      </c>
      <c r="W48" s="61" t="n">
        <v>56.70000000000002</v>
      </c>
      <c r="X48" s="61" t="n">
        <v>49.17999999999996</v>
      </c>
      <c r="Y48" s="61" t="n">
        <v>88.54000000000003</v>
      </c>
      <c r="Z48" s="61" t="n">
        <v>25.37888119665235</v>
      </c>
      <c r="AA48" s="61" t="n">
        <v>411.34</v>
      </c>
      <c r="AB48" s="61" t="n">
        <v>89.53000000000002</v>
      </c>
      <c r="AC48" s="61" t="n">
        <v>36.28101846920782</v>
      </c>
      <c r="AD48" s="61" t="n">
        <v>88.81999999999999</v>
      </c>
      <c r="AE48" s="61" t="n">
        <v>26.32000000000001</v>
      </c>
      <c r="AF48" s="61" t="n">
        <v>88.60000000000001</v>
      </c>
      <c r="AG48" s="61" t="n">
        <v>55.55999999999999</v>
      </c>
      <c r="AH48" s="61" t="n">
        <v>53.53</v>
      </c>
      <c r="AI48" s="61" t="n">
        <v>129.6999999999999</v>
      </c>
      <c r="AJ48" s="61" t="n">
        <v>67.99999999999996</v>
      </c>
      <c r="AK48" s="61" t="n">
        <v>43.68000000000003</v>
      </c>
      <c r="AL48" s="61" t="n">
        <v>58.70999999999998</v>
      </c>
      <c r="AM48" s="61" t="n">
        <v>53.37000000000003</v>
      </c>
      <c r="AN48" s="61" t="n">
        <v>35.08</v>
      </c>
    </row>
    <row r="49" ht="19" customHeight="1">
      <c r="A49" s="24" t="inlineStr">
        <is>
          <t>2018-08-01</t>
        </is>
      </c>
      <c r="B49" s="61" t="n">
        <v>164.4533848440649</v>
      </c>
      <c r="C49" s="61" t="n">
        <v>108.1981305693431</v>
      </c>
      <c r="D49" s="61" t="n">
        <v>92.20556280600042</v>
      </c>
      <c r="E49" s="61" t="n">
        <v>103.9772684887429</v>
      </c>
      <c r="F49" s="61" t="n">
        <v>34.81342850232496</v>
      </c>
      <c r="G49" s="61" t="n">
        <v>67.36162697932357</v>
      </c>
      <c r="H49" s="61" t="n">
        <v>234.6573274380637</v>
      </c>
      <c r="I49" s="61" t="n">
        <v>48.75840052435711</v>
      </c>
      <c r="J49" s="61" t="n">
        <v>132.2535358401394</v>
      </c>
      <c r="K49" s="61" t="n">
        <v>56.18069233599076</v>
      </c>
      <c r="L49" s="61" t="n">
        <v>90.50999999999998</v>
      </c>
      <c r="M49" s="61" t="n">
        <v>13.21</v>
      </c>
      <c r="N49" s="61" t="n">
        <v>93.02000000000004</v>
      </c>
      <c r="O49" s="61" t="n">
        <v>177.1369520786033</v>
      </c>
      <c r="P49" s="61" t="n">
        <v>25.29999999999999</v>
      </c>
      <c r="Q49" s="61" t="n">
        <v>256.3937961487586</v>
      </c>
      <c r="R49" s="61" t="n">
        <v>53.76847332299123</v>
      </c>
      <c r="S49" s="61" t="n">
        <v>37.93999999999995</v>
      </c>
      <c r="T49" s="61" t="n">
        <v>89.8400000000001</v>
      </c>
      <c r="U49" s="61" t="n">
        <v>6.940000000000005</v>
      </c>
      <c r="V49" s="61" t="n">
        <v>26.9881657965548</v>
      </c>
      <c r="W49" s="61" t="n">
        <v>57.82000000000002</v>
      </c>
      <c r="X49" s="61" t="n">
        <v>51.21999999999996</v>
      </c>
      <c r="Y49" s="61" t="n">
        <v>95.20000000000003</v>
      </c>
      <c r="Z49" s="61" t="n">
        <v>25.41996960530973</v>
      </c>
      <c r="AA49" s="61" t="n">
        <v>391.9400000000001</v>
      </c>
      <c r="AB49" s="61" t="n">
        <v>95.35000000000001</v>
      </c>
      <c r="AC49" s="61" t="n">
        <v>34.67812307323821</v>
      </c>
      <c r="AD49" s="61" t="n">
        <v>86.51000000000001</v>
      </c>
      <c r="AE49" s="61" t="n">
        <v>28.44000000000001</v>
      </c>
      <c r="AF49" s="61" t="n">
        <v>83.92000000000002</v>
      </c>
      <c r="AG49" s="61" t="n">
        <v>56.52999999999999</v>
      </c>
      <c r="AH49" s="61" t="n">
        <v>50.08</v>
      </c>
      <c r="AI49" s="61" t="n">
        <v>134.3899999999999</v>
      </c>
      <c r="AJ49" s="61" t="n">
        <v>72.85999999999996</v>
      </c>
      <c r="AK49" s="61" t="n">
        <v>44.87000000000003</v>
      </c>
      <c r="AL49" s="61" t="n">
        <v>59.10999999999998</v>
      </c>
      <c r="AM49" s="61" t="n">
        <v>54.29000000000003</v>
      </c>
      <c r="AN49" s="61" t="n">
        <v>32.01</v>
      </c>
    </row>
    <row r="50" ht="19" customHeight="1">
      <c r="A50" s="24" t="inlineStr">
        <is>
          <t>2018-09-01</t>
        </is>
      </c>
      <c r="B50" s="61" t="n">
        <v>169.6793011297735</v>
      </c>
      <c r="C50" s="61" t="n">
        <v>110.9936588690352</v>
      </c>
      <c r="D50" s="61" t="n">
        <v>90.8053551311972</v>
      </c>
      <c r="E50" s="61" t="n">
        <v>105.8655824015404</v>
      </c>
      <c r="F50" s="61" t="n">
        <v>34.30177007791801</v>
      </c>
      <c r="G50" s="61" t="n">
        <v>67.58904798276264</v>
      </c>
      <c r="H50" s="61" t="n">
        <v>233.3266751386042</v>
      </c>
      <c r="I50" s="61" t="n">
        <v>49.36481274986738</v>
      </c>
      <c r="J50" s="61" t="n">
        <v>132.5129321061807</v>
      </c>
      <c r="K50" s="61" t="n">
        <v>59.57940730866509</v>
      </c>
      <c r="L50" s="61" t="n">
        <v>91.07999999999997</v>
      </c>
      <c r="M50" s="61" t="n">
        <v>13.37</v>
      </c>
      <c r="N50" s="61" t="n">
        <v>93.17000000000003</v>
      </c>
      <c r="O50" s="61" t="n">
        <v>176.6374258737416</v>
      </c>
      <c r="P50" s="61" t="n">
        <v>25.42999999999999</v>
      </c>
      <c r="Q50" s="61" t="n">
        <v>257.9183136606591</v>
      </c>
      <c r="R50" s="61" t="n">
        <v>53.3221949944104</v>
      </c>
      <c r="S50" s="61" t="n">
        <v>38.63999999999994</v>
      </c>
      <c r="T50" s="61" t="n">
        <v>85.76000000000009</v>
      </c>
      <c r="U50" s="61" t="n">
        <v>6.950000000000005</v>
      </c>
      <c r="V50" s="61" t="n">
        <v>28.64567098711601</v>
      </c>
      <c r="W50" s="61" t="n">
        <v>63.46000000000002</v>
      </c>
      <c r="X50" s="61" t="n">
        <v>53.32999999999996</v>
      </c>
      <c r="Y50" s="61" t="n">
        <v>96.69000000000003</v>
      </c>
      <c r="Z50" s="61" t="n">
        <v>24.32894450984984</v>
      </c>
      <c r="AA50" s="61" t="n">
        <v>388.1600000000001</v>
      </c>
      <c r="AB50" s="61" t="n">
        <v>95.80000000000001</v>
      </c>
      <c r="AC50" s="61" t="n">
        <v>36.24429114559487</v>
      </c>
      <c r="AD50" s="61" t="n">
        <v>87.06</v>
      </c>
      <c r="AE50" s="61" t="n">
        <v>27.86000000000001</v>
      </c>
      <c r="AF50" s="61" t="n">
        <v>86.63000000000001</v>
      </c>
      <c r="AG50" s="61" t="n">
        <v>59.58999999999998</v>
      </c>
      <c r="AH50" s="61" t="n">
        <v>48.69</v>
      </c>
      <c r="AI50" s="61" t="n">
        <v>138.5799999999999</v>
      </c>
      <c r="AJ50" s="61" t="n">
        <v>75.08999999999996</v>
      </c>
      <c r="AK50" s="61" t="n">
        <v>47.71000000000004</v>
      </c>
      <c r="AL50" s="61" t="n">
        <v>58.21999999999998</v>
      </c>
      <c r="AM50" s="61" t="n">
        <v>53.64000000000004</v>
      </c>
      <c r="AN50" s="61" t="n">
        <v>31.88</v>
      </c>
    </row>
    <row r="51" ht="19" customHeight="1">
      <c r="A51" s="24" t="inlineStr">
        <is>
          <t>2018-10-01</t>
        </is>
      </c>
      <c r="B51" s="61" t="n">
        <v>144.0656410108203</v>
      </c>
      <c r="C51" s="61" t="n">
        <v>112.4557242834051</v>
      </c>
      <c r="D51" s="61" t="n">
        <v>88.34566398441663</v>
      </c>
      <c r="E51" s="61" t="n">
        <v>98.86771993404231</v>
      </c>
      <c r="F51" s="61" t="n">
        <v>35.30460366184694</v>
      </c>
      <c r="G51" s="61" t="n">
        <v>72.65117116351806</v>
      </c>
      <c r="H51" s="61" t="n">
        <v>229.2134305805483</v>
      </c>
      <c r="I51" s="61" t="n">
        <v>47.36564090722678</v>
      </c>
      <c r="J51" s="61" t="n">
        <v>122.6929078224768</v>
      </c>
      <c r="K51" s="61" t="n">
        <v>55.83730731266636</v>
      </c>
      <c r="L51" s="61" t="n">
        <v>86.53999999999998</v>
      </c>
      <c r="M51" s="61" t="n">
        <v>12.58</v>
      </c>
      <c r="N51" s="61" t="n">
        <v>86.42000000000003</v>
      </c>
      <c r="O51" s="61" t="n">
        <v>161.4536727456348</v>
      </c>
      <c r="P51" s="61" t="n">
        <v>23.11999999999999</v>
      </c>
      <c r="Q51" s="61" t="n">
        <v>240.0961581867075</v>
      </c>
      <c r="R51" s="61" t="n">
        <v>51.69693449098077</v>
      </c>
      <c r="S51" s="61" t="n">
        <v>36.57999999999994</v>
      </c>
      <c r="T51" s="61" t="n">
        <v>74.84000000000009</v>
      </c>
      <c r="U51" s="61" t="n">
        <v>5.220000000000003</v>
      </c>
      <c r="V51" s="61" t="n">
        <v>27.98911220809131</v>
      </c>
      <c r="W51" s="61" t="n">
        <v>59.88000000000002</v>
      </c>
      <c r="X51" s="61" t="n">
        <v>55.33999999999996</v>
      </c>
      <c r="Y51" s="61" t="n">
        <v>97.71000000000002</v>
      </c>
      <c r="Z51" s="61" t="n">
        <v>22.71033983160953</v>
      </c>
      <c r="AA51" s="61" t="n">
        <v>338.8200000000001</v>
      </c>
      <c r="AB51" s="61" t="n">
        <v>92.76000000000002</v>
      </c>
      <c r="AC51" s="61" t="n">
        <v>37.5703972700299</v>
      </c>
      <c r="AD51" s="61" t="n">
        <v>87.51000000000001</v>
      </c>
      <c r="AE51" s="61" t="n">
        <v>29.75000000000001</v>
      </c>
      <c r="AF51" s="61" t="n">
        <v>79.10000000000001</v>
      </c>
      <c r="AG51" s="61" t="n">
        <v>54.03999999999998</v>
      </c>
      <c r="AH51" s="61" t="n">
        <v>41.01</v>
      </c>
      <c r="AI51" s="61" t="n">
        <v>146.5399999999998</v>
      </c>
      <c r="AJ51" s="61" t="n">
        <v>66.50999999999996</v>
      </c>
      <c r="AK51" s="61" t="n">
        <v>48.91000000000003</v>
      </c>
      <c r="AL51" s="61" t="n">
        <v>60.11999999999998</v>
      </c>
      <c r="AM51" s="61" t="n">
        <v>55.52000000000004</v>
      </c>
      <c r="AN51" s="61" t="n">
        <v>32.92</v>
      </c>
    </row>
    <row r="52" ht="19" customHeight="1">
      <c r="A52" s="24" t="inlineStr">
        <is>
          <t>2018-11-01</t>
        </is>
      </c>
      <c r="B52" s="61" t="n">
        <v>148.5860351620188</v>
      </c>
      <c r="C52" s="61" t="n">
        <v>118.7580582856423</v>
      </c>
      <c r="D52" s="61" t="n">
        <v>90.10416251630177</v>
      </c>
      <c r="E52" s="61" t="n">
        <v>103.0877315574876</v>
      </c>
      <c r="F52" s="61" t="n">
        <v>37.42289072007108</v>
      </c>
      <c r="G52" s="61" t="n">
        <v>77.42742378336159</v>
      </c>
      <c r="H52" s="61" t="n">
        <v>247.5514090447624</v>
      </c>
      <c r="I52" s="61" t="n">
        <v>48.89746344891618</v>
      </c>
      <c r="J52" s="61" t="n">
        <v>125.1634356508477</v>
      </c>
      <c r="K52" s="61" t="n">
        <v>56.27594593504364</v>
      </c>
      <c r="L52" s="61" t="n">
        <v>89.36999999999998</v>
      </c>
      <c r="M52" s="61" t="n">
        <v>13.01</v>
      </c>
      <c r="N52" s="61" t="n">
        <v>88.68000000000004</v>
      </c>
      <c r="O52" s="61" t="n">
        <v>161.0258205128589</v>
      </c>
      <c r="P52" s="61" t="n">
        <v>23.25</v>
      </c>
      <c r="Q52" s="61" t="n">
        <v>244.5497018249127</v>
      </c>
      <c r="R52" s="61" t="n">
        <v>42.32944996121505</v>
      </c>
      <c r="S52" s="61" t="n">
        <v>38.27999999999994</v>
      </c>
      <c r="T52" s="61" t="n">
        <v>80.5000000000001</v>
      </c>
      <c r="U52" s="61" t="n">
        <v>4.050000000000002</v>
      </c>
      <c r="V52" s="61" t="n">
        <v>30.28150446527061</v>
      </c>
      <c r="W52" s="61" t="n">
        <v>64.32000000000001</v>
      </c>
      <c r="X52" s="61" t="n">
        <v>59.64999999999996</v>
      </c>
      <c r="Y52" s="61" t="n">
        <v>107.44</v>
      </c>
      <c r="Z52" s="61" t="n">
        <v>23.45358112327861</v>
      </c>
      <c r="AA52" s="61" t="n">
        <v>352.48</v>
      </c>
      <c r="AB52" s="61" t="n">
        <v>101.37</v>
      </c>
      <c r="AC52" s="61" t="n">
        <v>39.86050083562458</v>
      </c>
      <c r="AD52" s="61" t="n">
        <v>94.95</v>
      </c>
      <c r="AE52" s="61" t="n">
        <v>28.97000000000001</v>
      </c>
      <c r="AF52" s="61" t="n">
        <v>85.08000000000001</v>
      </c>
      <c r="AG52" s="61" t="n">
        <v>51.16999999999998</v>
      </c>
      <c r="AH52" s="61" t="n">
        <v>36.05</v>
      </c>
      <c r="AI52" s="61" t="n">
        <v>157.1299999999998</v>
      </c>
      <c r="AJ52" s="61" t="n">
        <v>66.77999999999997</v>
      </c>
      <c r="AK52" s="61" t="n">
        <v>56.31000000000004</v>
      </c>
      <c r="AL52" s="61" t="n">
        <v>65.13999999999999</v>
      </c>
      <c r="AM52" s="61" t="n">
        <v>59.37000000000004</v>
      </c>
      <c r="AN52" s="61" t="n">
        <v>35.05</v>
      </c>
    </row>
    <row r="53" ht="19" customHeight="1">
      <c r="A53" s="24" t="inlineStr">
        <is>
          <t>2018-12-01</t>
        </is>
      </c>
      <c r="B53" s="61" t="n">
        <v>141.5818958504841</v>
      </c>
      <c r="C53" s="61" t="n">
        <v>104.3276184132972</v>
      </c>
      <c r="D53" s="61" t="n">
        <v>79.10751407386947</v>
      </c>
      <c r="E53" s="61" t="n">
        <v>94.42351419990673</v>
      </c>
      <c r="F53" s="61" t="n">
        <v>35.79794921158722</v>
      </c>
      <c r="G53" s="61" t="n">
        <v>75.30556278687911</v>
      </c>
      <c r="H53" s="61" t="n">
        <v>219.1853998631344</v>
      </c>
      <c r="I53" s="61" t="n">
        <v>45.62715938391635</v>
      </c>
      <c r="J53" s="61" t="n">
        <v>113.6782630660622</v>
      </c>
      <c r="K53" s="61" t="n">
        <v>48.26989727783979</v>
      </c>
      <c r="L53" s="61" t="n">
        <v>81.19999999999997</v>
      </c>
      <c r="M53" s="61" t="n">
        <v>11.95</v>
      </c>
      <c r="N53" s="61" t="n">
        <v>80.21000000000002</v>
      </c>
      <c r="O53" s="61" t="n">
        <v>147.0793741982402</v>
      </c>
      <c r="P53" s="61" t="n">
        <v>21.3</v>
      </c>
      <c r="Q53" s="61" t="n">
        <v>223.0171005792292</v>
      </c>
      <c r="R53" s="61" t="n">
        <v>37.38960315074126</v>
      </c>
      <c r="S53" s="61" t="n">
        <v>34.64999999999995</v>
      </c>
      <c r="T53" s="61" t="n">
        <v>76.1900000000001</v>
      </c>
      <c r="U53" s="61" t="n">
        <v>3.310000000000002</v>
      </c>
      <c r="V53" s="61" t="n">
        <v>28.59149370106386</v>
      </c>
      <c r="W53" s="61" t="n">
        <v>62.83000000000001</v>
      </c>
      <c r="X53" s="61" t="n">
        <v>57.84999999999996</v>
      </c>
      <c r="Y53" s="61" t="n">
        <v>104.8</v>
      </c>
      <c r="Z53" s="61" t="n">
        <v>20.46207685100443</v>
      </c>
      <c r="AA53" s="61" t="n">
        <v>326.06</v>
      </c>
      <c r="AB53" s="61" t="n">
        <v>86.06000000000002</v>
      </c>
      <c r="AC53" s="61" t="n">
        <v>37.44814332505258</v>
      </c>
      <c r="AD53" s="61" t="n">
        <v>86.72</v>
      </c>
      <c r="AE53" s="61" t="n">
        <v>27.79000000000001</v>
      </c>
      <c r="AF53" s="61" t="n">
        <v>77.82000000000001</v>
      </c>
      <c r="AG53" s="61" t="n">
        <v>48.19999999999998</v>
      </c>
      <c r="AH53" s="61" t="n">
        <v>29.15</v>
      </c>
      <c r="AI53" s="61" t="n">
        <v>148.0099999999998</v>
      </c>
      <c r="AJ53" s="61" t="n">
        <v>65.90999999999997</v>
      </c>
      <c r="AK53" s="61" t="n">
        <v>54.35000000000004</v>
      </c>
      <c r="AL53" s="61" t="n">
        <v>63.46999999999998</v>
      </c>
      <c r="AM53" s="61" t="n">
        <v>57.08000000000004</v>
      </c>
      <c r="AN53" s="61" t="n">
        <v>32.52</v>
      </c>
    </row>
    <row r="54" ht="19" customHeight="1">
      <c r="A54" s="24" t="inlineStr">
        <is>
          <t>2019-01-01</t>
        </is>
      </c>
      <c r="B54" s="61" t="n">
        <v>151.2311249578175</v>
      </c>
      <c r="C54" s="61" t="n">
        <v>107.5856033251378</v>
      </c>
      <c r="D54" s="61" t="n">
        <v>84.55358647256749</v>
      </c>
      <c r="E54" s="61" t="n">
        <v>97.0822840532901</v>
      </c>
      <c r="F54" s="61" t="n">
        <v>36.86064201277566</v>
      </c>
      <c r="G54" s="61" t="n">
        <v>79.65823500935063</v>
      </c>
      <c r="H54" s="61" t="n">
        <v>237.7324081102131</v>
      </c>
      <c r="I54" s="61" t="n">
        <v>48.20457145813268</v>
      </c>
      <c r="J54" s="61" t="n">
        <v>123.3867545947632</v>
      </c>
      <c r="K54" s="61" t="n">
        <v>51.87296297208095</v>
      </c>
      <c r="L54" s="61" t="n">
        <v>86.84999999999997</v>
      </c>
      <c r="M54" s="61" t="n">
        <v>12.67</v>
      </c>
      <c r="N54" s="61" t="n">
        <v>88.08000000000003</v>
      </c>
      <c r="O54" s="61" t="n">
        <v>160.3324024484952</v>
      </c>
      <c r="P54" s="61" t="n">
        <v>23.25999999999999</v>
      </c>
      <c r="Q54" s="61" t="n">
        <v>240.8731877542057</v>
      </c>
      <c r="R54" s="61" t="n">
        <v>39.45178932291724</v>
      </c>
      <c r="S54" s="61" t="n">
        <v>38.10999999999994</v>
      </c>
      <c r="T54" s="61" t="n">
        <v>81.79000000000011</v>
      </c>
      <c r="U54" s="61" t="n">
        <v>3.560000000000002</v>
      </c>
      <c r="V54" s="61" t="n">
        <v>28.04825532074365</v>
      </c>
      <c r="W54" s="61" t="n">
        <v>63.68000000000001</v>
      </c>
      <c r="X54" s="61" t="n">
        <v>56.34999999999996</v>
      </c>
      <c r="Y54" s="61" t="n">
        <v>108.55</v>
      </c>
      <c r="Z54" s="61" t="n">
        <v>23.6426816146477</v>
      </c>
      <c r="AA54" s="61" t="n">
        <v>344.53</v>
      </c>
      <c r="AB54" s="61" t="n">
        <v>93.11000000000001</v>
      </c>
      <c r="AC54" s="61" t="n">
        <v>38.06502659004617</v>
      </c>
      <c r="AD54" s="61" t="n">
        <v>88.44</v>
      </c>
      <c r="AE54" s="61" t="n">
        <v>28.59000000000001</v>
      </c>
      <c r="AF54" s="61" t="n">
        <v>82.01000000000002</v>
      </c>
      <c r="AG54" s="61" t="n">
        <v>52.32999999999998</v>
      </c>
      <c r="AH54" s="61" t="n">
        <v>35.72</v>
      </c>
      <c r="AI54" s="61" t="n">
        <v>149.0199999999999</v>
      </c>
      <c r="AJ54" s="61" t="n">
        <v>72.78999999999996</v>
      </c>
      <c r="AK54" s="61" t="n">
        <v>57.51000000000003</v>
      </c>
      <c r="AL54" s="61" t="n">
        <v>64.55999999999999</v>
      </c>
      <c r="AM54" s="61" t="n">
        <v>60.42000000000005</v>
      </c>
      <c r="AN54" s="61" t="n">
        <v>35.99</v>
      </c>
    </row>
    <row r="55" ht="19" customHeight="1">
      <c r="A55" s="24" t="inlineStr">
        <is>
          <t>2019-02-01</t>
        </is>
      </c>
      <c r="B55" s="61" t="n">
        <v>152.5577206051693</v>
      </c>
      <c r="C55" s="61" t="n">
        <v>111.1962019932742</v>
      </c>
      <c r="D55" s="61" t="n">
        <v>85.25615160801615</v>
      </c>
      <c r="E55" s="61" t="n">
        <v>104.592331793139</v>
      </c>
      <c r="F55" s="61" t="n">
        <v>38.91909655189119</v>
      </c>
      <c r="G55" s="61" t="n">
        <v>81.37575473781838</v>
      </c>
      <c r="H55" s="61" t="n">
        <v>213.1144745743576</v>
      </c>
      <c r="I55" s="61" t="n">
        <v>50.05055838784529</v>
      </c>
      <c r="J55" s="61" t="n">
        <v>127.7778445148565</v>
      </c>
      <c r="K55" s="61" t="n">
        <v>56.56433429091483</v>
      </c>
      <c r="L55" s="61" t="n">
        <v>89.32999999999997</v>
      </c>
      <c r="M55" s="61" t="n">
        <v>13.18</v>
      </c>
      <c r="N55" s="61" t="n">
        <v>91.31000000000002</v>
      </c>
      <c r="O55" s="61" t="n">
        <v>165.1282652705346</v>
      </c>
      <c r="P55" s="61" t="n">
        <v>24.10999999999999</v>
      </c>
      <c r="Q55" s="61" t="n">
        <v>248.6813330084461</v>
      </c>
      <c r="R55" s="61" t="n">
        <v>41.21828264164017</v>
      </c>
      <c r="S55" s="61" t="n">
        <v>41.71999999999993</v>
      </c>
      <c r="T55" s="61" t="n">
        <v>85.93000000000012</v>
      </c>
      <c r="U55" s="61" t="n">
        <v>3.820000000000002</v>
      </c>
      <c r="V55" s="61" t="n">
        <v>28.64290638179873</v>
      </c>
      <c r="W55" s="61" t="n">
        <v>67.73000000000002</v>
      </c>
      <c r="X55" s="61" t="n">
        <v>61.53999999999995</v>
      </c>
      <c r="Y55" s="61" t="n">
        <v>114.99</v>
      </c>
      <c r="Z55" s="61" t="n">
        <v>24.27254629554353</v>
      </c>
      <c r="AA55" s="61" t="n">
        <v>367.8899999999999</v>
      </c>
      <c r="AB55" s="61" t="n">
        <v>97.68000000000002</v>
      </c>
      <c r="AC55" s="61" t="n">
        <v>35.85839699862119</v>
      </c>
      <c r="AD55" s="61" t="n">
        <v>91.5</v>
      </c>
      <c r="AE55" s="61" t="n">
        <v>29.53000000000001</v>
      </c>
      <c r="AF55" s="61" t="n">
        <v>86.40000000000002</v>
      </c>
      <c r="AG55" s="61" t="n">
        <v>52.69999999999998</v>
      </c>
      <c r="AH55" s="61" t="n">
        <v>36.01</v>
      </c>
      <c r="AI55" s="61" t="n">
        <v>154.2099999999998</v>
      </c>
      <c r="AJ55" s="61" t="n">
        <v>76.20999999999994</v>
      </c>
      <c r="AK55" s="61" t="n">
        <v>59.61000000000003</v>
      </c>
      <c r="AL55" s="61" t="n">
        <v>66.63999999999999</v>
      </c>
      <c r="AM55" s="61" t="n">
        <v>62.50000000000006</v>
      </c>
      <c r="AN55" s="61" t="n">
        <v>37.25</v>
      </c>
    </row>
    <row r="56" ht="19" customHeight="1">
      <c r="A56" s="24" t="inlineStr">
        <is>
          <t>2019-03-01</t>
        </is>
      </c>
      <c r="B56" s="61" t="n">
        <v>159.2972701985568</v>
      </c>
      <c r="C56" s="61" t="n">
        <v>113.7596323897934</v>
      </c>
      <c r="D56" s="61" t="n">
        <v>82.69913367762508</v>
      </c>
      <c r="E56" s="61" t="n">
        <v>110.1099594756074</v>
      </c>
      <c r="F56" s="61" t="n">
        <v>40.08011290392821</v>
      </c>
      <c r="G56" s="61" t="n">
        <v>85.91726302256281</v>
      </c>
      <c r="H56" s="61" t="n">
        <v>218.3791876362975</v>
      </c>
      <c r="I56" s="61" t="n">
        <v>51.4088072679661</v>
      </c>
      <c r="J56" s="61" t="n">
        <v>129.588056371423</v>
      </c>
      <c r="K56" s="61" t="n">
        <v>57.83116835356782</v>
      </c>
      <c r="L56" s="61" t="n">
        <v>89.83999999999997</v>
      </c>
      <c r="M56" s="61" t="n">
        <v>13.39</v>
      </c>
      <c r="N56" s="61" t="n">
        <v>92.07000000000001</v>
      </c>
      <c r="O56" s="61" t="n">
        <v>171.6088891693419</v>
      </c>
      <c r="P56" s="61" t="n">
        <v>24.86999999999999</v>
      </c>
      <c r="Q56" s="61" t="n">
        <v>253.1827138172319</v>
      </c>
      <c r="R56" s="61" t="n">
        <v>45.21752773322795</v>
      </c>
      <c r="S56" s="61" t="n">
        <v>43.50999999999993</v>
      </c>
      <c r="T56" s="61" t="n">
        <v>86.17000000000012</v>
      </c>
      <c r="U56" s="61" t="n">
        <v>4.450000000000003</v>
      </c>
      <c r="V56" s="61" t="n">
        <v>28.06145538224822</v>
      </c>
      <c r="W56" s="61" t="n">
        <v>69.76000000000002</v>
      </c>
      <c r="X56" s="61" t="n">
        <v>63.38999999999995</v>
      </c>
      <c r="Y56" s="61" t="n">
        <v>118.15</v>
      </c>
      <c r="Z56" s="61" t="n">
        <v>23.02882102335988</v>
      </c>
      <c r="AA56" s="61" t="n">
        <v>357.4299999999999</v>
      </c>
      <c r="AB56" s="61" t="n">
        <v>99.09000000000002</v>
      </c>
      <c r="AC56" s="61" t="n">
        <v>37.38406421572152</v>
      </c>
      <c r="AD56" s="61" t="n">
        <v>96.97</v>
      </c>
      <c r="AE56" s="61" t="n">
        <v>29.25000000000001</v>
      </c>
      <c r="AF56" s="61" t="n">
        <v>89.00000000000001</v>
      </c>
      <c r="AG56" s="61" t="n">
        <v>51.82999999999998</v>
      </c>
      <c r="AH56" s="61" t="n">
        <v>35.61</v>
      </c>
      <c r="AI56" s="61" t="n">
        <v>159.2899999999998</v>
      </c>
      <c r="AJ56" s="61" t="n">
        <v>75.04999999999994</v>
      </c>
      <c r="AK56" s="61" t="n">
        <v>63.07000000000004</v>
      </c>
      <c r="AL56" s="61" t="n">
        <v>66.88999999999997</v>
      </c>
      <c r="AM56" s="61" t="n">
        <v>64.50000000000006</v>
      </c>
      <c r="AN56" s="61" t="n">
        <v>38.74</v>
      </c>
    </row>
    <row r="57" ht="19" customHeight="1">
      <c r="A57" s="24" t="inlineStr">
        <is>
          <t>2019-04-01</t>
        </is>
      </c>
      <c r="B57" s="61" t="n">
        <v>169.1013443076086</v>
      </c>
      <c r="C57" s="61" t="n">
        <v>114.9070842794434</v>
      </c>
      <c r="D57" s="61" t="n">
        <v>95.53166360907848</v>
      </c>
      <c r="E57" s="61" t="n">
        <v>121.9294936263673</v>
      </c>
      <c r="F57" s="61" t="n">
        <v>40.31231767931892</v>
      </c>
      <c r="G57" s="61" t="n">
        <v>88.54448190196666</v>
      </c>
      <c r="H57" s="61" t="n">
        <v>205.846682525902</v>
      </c>
      <c r="I57" s="61" t="n">
        <v>52.52791464330652</v>
      </c>
      <c r="J57" s="61" t="n">
        <v>134.6744655960113</v>
      </c>
      <c r="K57" s="61" t="n">
        <v>57.45898644314799</v>
      </c>
      <c r="L57" s="61" t="n">
        <v>92.85999999999997</v>
      </c>
      <c r="M57" s="61" t="n">
        <v>13.82000000000001</v>
      </c>
      <c r="N57" s="61" t="n">
        <v>95.38</v>
      </c>
      <c r="O57" s="61" t="n">
        <v>181.0461768114316</v>
      </c>
      <c r="P57" s="61" t="n">
        <v>26.03999999999999</v>
      </c>
      <c r="Q57" s="61" t="n">
        <v>263.5257340420935</v>
      </c>
      <c r="R57" s="61" t="n">
        <v>47.7694241283804</v>
      </c>
      <c r="S57" s="61" t="n">
        <v>45.36999999999993</v>
      </c>
      <c r="T57" s="61" t="n">
        <v>95.72000000000013</v>
      </c>
      <c r="U57" s="61" t="n">
        <v>4.490000000000003</v>
      </c>
      <c r="V57" s="61" t="n">
        <v>26.83236363650575</v>
      </c>
      <c r="W57" s="61" t="n">
        <v>69.71000000000001</v>
      </c>
      <c r="X57" s="61" t="n">
        <v>59.98999999999996</v>
      </c>
      <c r="Y57" s="61" t="n">
        <v>106.57</v>
      </c>
      <c r="Z57" s="61" t="n">
        <v>25.52452344412446</v>
      </c>
      <c r="AA57" s="61" t="n">
        <v>405.8299999999999</v>
      </c>
      <c r="AB57" s="61" t="n">
        <v>106.66</v>
      </c>
      <c r="AC57" s="61" t="n">
        <v>39.13917126252122</v>
      </c>
      <c r="AD57" s="61" t="n">
        <v>101.33</v>
      </c>
      <c r="AE57" s="61" t="n">
        <v>30.85000000000001</v>
      </c>
      <c r="AF57" s="61" t="n">
        <v>86.75000000000001</v>
      </c>
      <c r="AG57" s="61" t="n">
        <v>49.01999999999998</v>
      </c>
      <c r="AH57" s="61" t="n">
        <v>34.89</v>
      </c>
      <c r="AI57" s="61" t="n">
        <v>165.7299999999998</v>
      </c>
      <c r="AJ57" s="61" t="n">
        <v>78.27999999999994</v>
      </c>
      <c r="AK57" s="61" t="n">
        <v>65.90000000000003</v>
      </c>
      <c r="AL57" s="61" t="n">
        <v>67.71999999999997</v>
      </c>
      <c r="AM57" s="61" t="n">
        <v>65.89000000000006</v>
      </c>
      <c r="AN57" s="61" t="n">
        <v>39.9</v>
      </c>
    </row>
    <row r="58" ht="19" customHeight="1">
      <c r="A58" s="24" t="inlineStr">
        <is>
          <t>2019-05-01</t>
        </is>
      </c>
      <c r="B58" s="61" t="n">
        <v>157.60373958682</v>
      </c>
      <c r="C58" s="61" t="n">
        <v>107.4587783496788</v>
      </c>
      <c r="D58" s="61" t="n">
        <v>87.22565891319395</v>
      </c>
      <c r="E58" s="61" t="n">
        <v>115.8962935241894</v>
      </c>
      <c r="F58" s="61" t="n">
        <v>41.35377580442458</v>
      </c>
      <c r="G58" s="61" t="n">
        <v>85.57582635332898</v>
      </c>
      <c r="H58" s="61" t="n">
        <v>213.556960881272</v>
      </c>
      <c r="I58" s="61" t="n">
        <v>51.67983985272119</v>
      </c>
      <c r="J58" s="61" t="n">
        <v>125.9881630953478</v>
      </c>
      <c r="K58" s="61" t="n">
        <v>51.23297113802674</v>
      </c>
      <c r="L58" s="61" t="n">
        <v>86.98999999999997</v>
      </c>
      <c r="M58" s="61" t="n">
        <v>12.77</v>
      </c>
      <c r="N58" s="61" t="n">
        <v>88.77</v>
      </c>
      <c r="O58" s="61" t="n">
        <v>166.1551287686913</v>
      </c>
      <c r="P58" s="61" t="n">
        <v>24.38999999999999</v>
      </c>
      <c r="Q58" s="61" t="n">
        <v>246.7206979822292</v>
      </c>
      <c r="R58" s="61" t="n">
        <v>41.83598395739427</v>
      </c>
      <c r="S58" s="61" t="n">
        <v>42.18999999999993</v>
      </c>
      <c r="T58" s="61" t="n">
        <v>85.30000000000011</v>
      </c>
      <c r="U58" s="61" t="n">
        <v>3.360000000000001</v>
      </c>
      <c r="V58" s="61" t="n">
        <v>27.6769391143284</v>
      </c>
      <c r="W58" s="61" t="n">
        <v>66.70000000000002</v>
      </c>
      <c r="X58" s="61" t="n">
        <v>60.36999999999995</v>
      </c>
      <c r="Y58" s="61" t="n">
        <v>106.16</v>
      </c>
      <c r="Z58" s="61" t="n">
        <v>22.20250671787166</v>
      </c>
      <c r="AA58" s="61" t="n">
        <v>347.55</v>
      </c>
      <c r="AB58" s="61" t="n">
        <v>104.36</v>
      </c>
      <c r="AC58" s="61" t="n">
        <v>39.19502285991284</v>
      </c>
      <c r="AD58" s="61" t="n">
        <v>101.29</v>
      </c>
      <c r="AE58" s="61" t="n">
        <v>30.59000000000001</v>
      </c>
      <c r="AF58" s="61" t="n">
        <v>83.07000000000001</v>
      </c>
      <c r="AG58" s="61" t="n">
        <v>46.01999999999998</v>
      </c>
      <c r="AH58" s="61" t="n">
        <v>28.36</v>
      </c>
      <c r="AI58" s="61" t="n">
        <v>167.2899999999998</v>
      </c>
      <c r="AJ58" s="61" t="n">
        <v>68.93999999999994</v>
      </c>
      <c r="AK58" s="61" t="n">
        <v>64.83000000000003</v>
      </c>
      <c r="AL58" s="61" t="n">
        <v>64.30999999999997</v>
      </c>
      <c r="AM58" s="61" t="n">
        <v>66.86000000000006</v>
      </c>
      <c r="AN58" s="61" t="n">
        <v>40.57</v>
      </c>
    </row>
    <row r="59" ht="19" customHeight="1">
      <c r="A59" s="24" t="inlineStr">
        <is>
          <t>2019-06-01</t>
        </is>
      </c>
      <c r="B59" s="61" t="n">
        <v>173.8570498161853</v>
      </c>
      <c r="C59" s="61" t="n">
        <v>114.1201651055212</v>
      </c>
      <c r="D59" s="61" t="n">
        <v>92.03308444409379</v>
      </c>
      <c r="E59" s="61" t="n">
        <v>125.5293536524887</v>
      </c>
      <c r="F59" s="61" t="n">
        <v>42.74119527213946</v>
      </c>
      <c r="G59" s="61" t="n">
        <v>91.18055742223331</v>
      </c>
      <c r="H59" s="61" t="n">
        <v>216.4632364197661</v>
      </c>
      <c r="I59" s="61" t="n">
        <v>54.25531087336234</v>
      </c>
      <c r="J59" s="61" t="n">
        <v>134.9056792342883</v>
      </c>
      <c r="K59" s="61" t="n">
        <v>55.47524302530289</v>
      </c>
      <c r="L59" s="61" t="n">
        <v>93.17999999999998</v>
      </c>
      <c r="M59" s="61" t="n">
        <v>13.7</v>
      </c>
      <c r="N59" s="61" t="n">
        <v>95.47</v>
      </c>
      <c r="O59" s="61" t="n">
        <v>178.766303042235</v>
      </c>
      <c r="P59" s="61" t="n">
        <v>26.03999999999999</v>
      </c>
      <c r="Q59" s="61" t="n">
        <v>263.8890044720206</v>
      </c>
      <c r="R59" s="61" t="n">
        <v>47.29637474752941</v>
      </c>
      <c r="S59" s="61" t="n">
        <v>44.37999999999993</v>
      </c>
      <c r="T59" s="61" t="n">
        <v>93.84000000000013</v>
      </c>
      <c r="U59" s="61" t="n">
        <v>4.080000000000002</v>
      </c>
      <c r="V59" s="61" t="n">
        <v>28.87681745575188</v>
      </c>
      <c r="W59" s="61" t="n">
        <v>73.69000000000001</v>
      </c>
      <c r="X59" s="61" t="n">
        <v>64.33999999999995</v>
      </c>
      <c r="Y59" s="61" t="n">
        <v>101.44</v>
      </c>
      <c r="Z59" s="61" t="n">
        <v>24.33654505607333</v>
      </c>
      <c r="AA59" s="61" t="n">
        <v>395.4999999999999</v>
      </c>
      <c r="AB59" s="61" t="n">
        <v>112.31</v>
      </c>
      <c r="AC59" s="61" t="n">
        <v>40.94018125275046</v>
      </c>
      <c r="AD59" s="61" t="n">
        <v>104.52</v>
      </c>
      <c r="AE59" s="61" t="n">
        <v>33.32000000000001</v>
      </c>
      <c r="AF59" s="61" t="n">
        <v>90.80000000000001</v>
      </c>
      <c r="AG59" s="61" t="n">
        <v>47.60999999999997</v>
      </c>
      <c r="AH59" s="61" t="n">
        <v>32.95</v>
      </c>
      <c r="AI59" s="61" t="n">
        <v>175.2099999999998</v>
      </c>
      <c r="AJ59" s="61" t="n">
        <v>75.02999999999994</v>
      </c>
      <c r="AK59" s="61" t="n">
        <v>71.45000000000003</v>
      </c>
      <c r="AL59" s="61" t="n">
        <v>66.28999999999998</v>
      </c>
      <c r="AM59" s="61" t="n">
        <v>68.33000000000006</v>
      </c>
      <c r="AN59" s="61" t="n">
        <v>41.91999999999999</v>
      </c>
    </row>
    <row r="60" ht="19" customHeight="1">
      <c r="A60" s="24" t="inlineStr">
        <is>
          <t>2019-07-01</t>
        </is>
      </c>
      <c r="B60" s="61" t="n">
        <v>178.6387993364804</v>
      </c>
      <c r="C60" s="61" t="n">
        <v>106.6967832554422</v>
      </c>
      <c r="D60" s="61" t="n">
        <v>96.16654556625429</v>
      </c>
      <c r="E60" s="61" t="n">
        <v>127.6939262173685</v>
      </c>
      <c r="F60" s="61" t="n">
        <v>43.22314725531145</v>
      </c>
      <c r="G60" s="61" t="n">
        <v>98.79298126238285</v>
      </c>
      <c r="H60" s="61" t="n">
        <v>220.8987540759272</v>
      </c>
      <c r="I60" s="61" t="n">
        <v>55.16059025017351</v>
      </c>
      <c r="J60" s="61" t="n">
        <v>136.8112497440425</v>
      </c>
      <c r="K60" s="61" t="n">
        <v>53.8319137699751</v>
      </c>
      <c r="L60" s="61" t="n">
        <v>93.94999999999997</v>
      </c>
      <c r="M60" s="61" t="n">
        <v>13.93000000000001</v>
      </c>
      <c r="N60" s="61" t="n">
        <v>96.28</v>
      </c>
      <c r="O60" s="61" t="n">
        <v>182.9401386856651</v>
      </c>
      <c r="P60" s="61" t="n">
        <v>26.63999999999999</v>
      </c>
      <c r="Q60" s="61" t="n">
        <v>267.8790062196375</v>
      </c>
      <c r="R60" s="61" t="n">
        <v>50.90953399999218</v>
      </c>
      <c r="S60" s="61" t="n">
        <v>45.20999999999993</v>
      </c>
      <c r="T60" s="61" t="n">
        <v>102.8400000000001</v>
      </c>
      <c r="U60" s="61" t="n">
        <v>4.190000000000002</v>
      </c>
      <c r="V60" s="61" t="n">
        <v>25.89037699447802</v>
      </c>
      <c r="W60" s="61" t="n">
        <v>76.60000000000001</v>
      </c>
      <c r="X60" s="61" t="n">
        <v>63.67999999999994</v>
      </c>
      <c r="Y60" s="61" t="n">
        <v>99.76000000000003</v>
      </c>
      <c r="Z60" s="61" t="n">
        <v>25.74638544771671</v>
      </c>
      <c r="AA60" s="61" t="n">
        <v>394.1399999999999</v>
      </c>
      <c r="AB60" s="61" t="n">
        <v>113.51</v>
      </c>
      <c r="AC60" s="61" t="n">
        <v>42.31503441958032</v>
      </c>
      <c r="AD60" s="61" t="n">
        <v>101.88</v>
      </c>
      <c r="AE60" s="61" t="n">
        <v>33.28000000000002</v>
      </c>
      <c r="AF60" s="61" t="n">
        <v>89.83000000000001</v>
      </c>
      <c r="AG60" s="61" t="n">
        <v>46.34999999999997</v>
      </c>
      <c r="AH60" s="61" t="n">
        <v>33.14</v>
      </c>
      <c r="AI60" s="61" t="n">
        <v>177.7899999999998</v>
      </c>
      <c r="AJ60" s="61" t="n">
        <v>76.88999999999994</v>
      </c>
      <c r="AK60" s="61" t="n">
        <v>80.70000000000003</v>
      </c>
      <c r="AL60" s="61" t="n">
        <v>65.14999999999998</v>
      </c>
      <c r="AM60" s="61" t="n">
        <v>68.17000000000006</v>
      </c>
      <c r="AN60" s="61" t="n">
        <v>42.61999999999999</v>
      </c>
    </row>
    <row r="61" ht="19" customHeight="1">
      <c r="A61" s="24" t="inlineStr">
        <is>
          <t>2019-08-01</t>
        </is>
      </c>
      <c r="B61" s="61" t="n">
        <v>190.5262857260651</v>
      </c>
      <c r="C61" s="61" t="n">
        <v>105.9608717479468</v>
      </c>
      <c r="D61" s="61" t="n">
        <v>91.07634106423669</v>
      </c>
      <c r="E61" s="61" t="n">
        <v>129.6140509750182</v>
      </c>
      <c r="F61" s="61" t="n">
        <v>45.96449579616549</v>
      </c>
      <c r="G61" s="61" t="n">
        <v>100.6259126359541</v>
      </c>
      <c r="H61" s="61" t="n">
        <v>207.5832658949019</v>
      </c>
      <c r="I61" s="61" t="n">
        <v>56.03951738524147</v>
      </c>
      <c r="J61" s="61" t="n">
        <v>133.961919468717</v>
      </c>
      <c r="K61" s="61" t="n">
        <v>50.1915734514839</v>
      </c>
      <c r="L61" s="61" t="n">
        <v>91.15999999999997</v>
      </c>
      <c r="M61" s="61" t="n">
        <v>13.75000000000001</v>
      </c>
      <c r="N61" s="61" t="n">
        <v>93.13</v>
      </c>
      <c r="O61" s="61" t="n">
        <v>179.4642760506375</v>
      </c>
      <c r="P61" s="61" t="n">
        <v>26.48999999999999</v>
      </c>
      <c r="Q61" s="61" t="n">
        <v>263.3947116555208</v>
      </c>
      <c r="R61" s="61" t="n">
        <v>50.0715630703523</v>
      </c>
      <c r="S61" s="61" t="n">
        <v>38.19999999999994</v>
      </c>
      <c r="T61" s="61" t="n">
        <v>101.8000000000001</v>
      </c>
      <c r="U61" s="61" t="n">
        <v>4.160000000000002</v>
      </c>
      <c r="V61" s="61" t="n">
        <v>23.91908369011847</v>
      </c>
      <c r="W61" s="61" t="n">
        <v>75.04000000000002</v>
      </c>
      <c r="X61" s="61" t="n">
        <v>66.34999999999992</v>
      </c>
      <c r="Y61" s="61" t="n">
        <v>104.02</v>
      </c>
      <c r="Z61" s="61" t="n">
        <v>23.08626890325862</v>
      </c>
      <c r="AA61" s="61" t="n">
        <v>356.11</v>
      </c>
      <c r="AB61" s="61" t="n">
        <v>109.86</v>
      </c>
      <c r="AC61" s="61" t="n">
        <v>44.25272447572175</v>
      </c>
      <c r="AD61" s="61" t="n">
        <v>108.99</v>
      </c>
      <c r="AE61" s="61" t="n">
        <v>34.62000000000001</v>
      </c>
      <c r="AF61" s="61" t="n">
        <v>86.78000000000002</v>
      </c>
      <c r="AG61" s="61" t="n">
        <v>40.92999999999998</v>
      </c>
      <c r="AH61" s="61" t="n">
        <v>26.89</v>
      </c>
      <c r="AI61" s="61" t="n">
        <v>184.8799999999998</v>
      </c>
      <c r="AJ61" s="61" t="n">
        <v>75.71999999999994</v>
      </c>
      <c r="AK61" s="61" t="n">
        <v>82.61000000000003</v>
      </c>
      <c r="AL61" s="61" t="n">
        <v>70.41999999999997</v>
      </c>
      <c r="AM61" s="61" t="n">
        <v>71.30000000000005</v>
      </c>
      <c r="AN61" s="61" t="n">
        <v>44.65999999999999</v>
      </c>
    </row>
    <row r="62" ht="19" customHeight="1">
      <c r="A62" s="24" t="inlineStr">
        <is>
          <t>2019-09-01</t>
        </is>
      </c>
      <c r="B62" s="61" t="n">
        <v>195.1466144580696</v>
      </c>
      <c r="C62" s="61" t="n">
        <v>106.802895431218</v>
      </c>
      <c r="D62" s="61" t="n">
        <v>97.56760426442592</v>
      </c>
      <c r="E62" s="61" t="n">
        <v>130.7140811483795</v>
      </c>
      <c r="F62" s="61" t="n">
        <v>48.88290831241445</v>
      </c>
      <c r="G62" s="61" t="n">
        <v>104.0992166586538</v>
      </c>
      <c r="H62" s="61" t="n">
        <v>193.6954056900416</v>
      </c>
      <c r="I62" s="61" t="n">
        <v>56.59079123100716</v>
      </c>
      <c r="J62" s="61" t="n">
        <v>136.345541947009</v>
      </c>
      <c r="K62" s="61" t="n">
        <v>51.75274138736837</v>
      </c>
      <c r="L62" s="61" t="n">
        <v>94.30999999999997</v>
      </c>
      <c r="M62" s="61" t="n">
        <v>14.27</v>
      </c>
      <c r="N62" s="61" t="n">
        <v>96.18000000000001</v>
      </c>
      <c r="O62" s="61" t="n">
        <v>181.1115786405063</v>
      </c>
      <c r="P62" s="61" t="n">
        <v>26.55999999999999</v>
      </c>
      <c r="Q62" s="61" t="n">
        <v>268.5198459549139</v>
      </c>
      <c r="R62" s="61" t="n">
        <v>53.72488445509135</v>
      </c>
      <c r="S62" s="61" t="n">
        <v>40.31999999999994</v>
      </c>
      <c r="T62" s="61" t="n">
        <v>106.3200000000001</v>
      </c>
      <c r="U62" s="61" t="n">
        <v>4.320000000000002</v>
      </c>
      <c r="V62" s="61" t="n">
        <v>24.17475477568214</v>
      </c>
      <c r="W62" s="61" t="n">
        <v>73.59000000000002</v>
      </c>
      <c r="X62" s="61" t="n">
        <v>65.01999999999992</v>
      </c>
      <c r="Y62" s="61" t="n">
        <v>102.97</v>
      </c>
      <c r="Z62" s="61" t="n">
        <v>24.64066738851503</v>
      </c>
      <c r="AA62" s="61" t="n">
        <v>378.5699999999999</v>
      </c>
      <c r="AB62" s="61" t="n">
        <v>107.95</v>
      </c>
      <c r="AC62" s="61" t="n">
        <v>44.09031697689585</v>
      </c>
      <c r="AD62" s="61" t="n">
        <v>110.04</v>
      </c>
      <c r="AE62" s="61" t="n">
        <v>35.96000000000002</v>
      </c>
      <c r="AF62" s="61" t="n">
        <v>87.43000000000002</v>
      </c>
      <c r="AG62" s="61" t="n">
        <v>44.69999999999998</v>
      </c>
      <c r="AH62" s="61" t="n">
        <v>28.78</v>
      </c>
      <c r="AI62" s="61" t="n">
        <v>182.1199999999998</v>
      </c>
      <c r="AJ62" s="61" t="n">
        <v>84.15999999999994</v>
      </c>
      <c r="AK62" s="61" t="n">
        <v>75.64000000000003</v>
      </c>
      <c r="AL62" s="61" t="n">
        <v>72.78999999999998</v>
      </c>
      <c r="AM62" s="61" t="n">
        <v>73.29000000000008</v>
      </c>
      <c r="AN62" s="61" t="n">
        <v>47.34999999999999</v>
      </c>
    </row>
    <row r="63" ht="19" customHeight="1">
      <c r="A63" s="24" t="inlineStr">
        <is>
          <t>2019-10-01</t>
        </is>
      </c>
      <c r="B63" s="61" t="n">
        <v>197.2997519441628</v>
      </c>
      <c r="C63" s="61" t="n">
        <v>108.9986981319263</v>
      </c>
      <c r="D63" s="61" t="n">
        <v>104.3910419889466</v>
      </c>
      <c r="E63" s="61" t="n">
        <v>134.7944759568983</v>
      </c>
      <c r="F63" s="61" t="n">
        <v>50.0053687983872</v>
      </c>
      <c r="G63" s="61" t="n">
        <v>104.8736929697587</v>
      </c>
      <c r="H63" s="61" t="n">
        <v>225.2293193201271</v>
      </c>
      <c r="I63" s="61" t="n">
        <v>56.45835904591051</v>
      </c>
      <c r="J63" s="61" t="n">
        <v>139.2168904358108</v>
      </c>
      <c r="K63" s="61" t="n">
        <v>49.52459630035045</v>
      </c>
      <c r="L63" s="61" t="n">
        <v>96.09999999999998</v>
      </c>
      <c r="M63" s="61" t="n">
        <v>14.46000000000001</v>
      </c>
      <c r="N63" s="61" t="n">
        <v>97.36000000000001</v>
      </c>
      <c r="O63" s="61" t="n">
        <v>189.0444468965391</v>
      </c>
      <c r="P63" s="61" t="n">
        <v>27.24999999999999</v>
      </c>
      <c r="Q63" s="61" t="n">
        <v>274.4552086299013</v>
      </c>
      <c r="R63" s="61" t="n">
        <v>59.67136956611868</v>
      </c>
      <c r="S63" s="61" t="n">
        <v>39.06999999999994</v>
      </c>
      <c r="T63" s="61" t="n">
        <v>97.79000000000013</v>
      </c>
      <c r="U63" s="61" t="n">
        <v>4.990000000000002</v>
      </c>
      <c r="V63" s="61" t="n">
        <v>25.81646237249872</v>
      </c>
      <c r="W63" s="61" t="n">
        <v>73.83000000000001</v>
      </c>
      <c r="X63" s="61" t="n">
        <v>66.93999999999993</v>
      </c>
      <c r="Y63" s="61" t="n">
        <v>104.92</v>
      </c>
      <c r="Z63" s="61" t="n">
        <v>26.414598315149</v>
      </c>
      <c r="AA63" s="61" t="n">
        <v>392.2099999999999</v>
      </c>
      <c r="AB63" s="61" t="n">
        <v>107.45</v>
      </c>
      <c r="AC63" s="61" t="n">
        <v>44.08238071984001</v>
      </c>
      <c r="AD63" s="61" t="n">
        <v>110.09</v>
      </c>
      <c r="AE63" s="61" t="n">
        <v>35.53000000000002</v>
      </c>
      <c r="AF63" s="61" t="n">
        <v>85.61000000000001</v>
      </c>
      <c r="AG63" s="61" t="n">
        <v>43.62999999999998</v>
      </c>
      <c r="AH63" s="61" t="n">
        <v>27.54</v>
      </c>
      <c r="AI63" s="61" t="n">
        <v>166.8399999999998</v>
      </c>
      <c r="AJ63" s="61" t="n">
        <v>80.23999999999994</v>
      </c>
      <c r="AK63" s="61" t="n">
        <v>72.34000000000003</v>
      </c>
      <c r="AL63" s="61" t="n">
        <v>71.56999999999996</v>
      </c>
      <c r="AM63" s="61" t="n">
        <v>73.83000000000008</v>
      </c>
      <c r="AN63" s="61" t="n">
        <v>48.02999999999999</v>
      </c>
    </row>
    <row r="64" ht="19" customHeight="1">
      <c r="A64" s="24" t="inlineStr">
        <is>
          <t>2019-11-01</t>
        </is>
      </c>
      <c r="B64" s="61" t="n">
        <v>185.4658029885385</v>
      </c>
      <c r="C64" s="61" t="n">
        <v>114.283998570898</v>
      </c>
      <c r="D64" s="61" t="n">
        <v>110.106950109458</v>
      </c>
      <c r="E64" s="61" t="n">
        <v>142.8096374873392</v>
      </c>
      <c r="F64" s="61" t="n">
        <v>49.31947665796206</v>
      </c>
      <c r="G64" s="61" t="n">
        <v>102.8100755895387</v>
      </c>
      <c r="H64" s="61" t="n">
        <v>249.4457126655822</v>
      </c>
      <c r="I64" s="61" t="n">
        <v>57.2440847216667</v>
      </c>
      <c r="J64" s="61" t="n">
        <v>144.4901259546866</v>
      </c>
      <c r="K64" s="61" t="n">
        <v>50.5372581099897</v>
      </c>
      <c r="L64" s="61" t="n">
        <v>99.40999999999998</v>
      </c>
      <c r="M64" s="61" t="n">
        <v>14.87</v>
      </c>
      <c r="N64" s="61" t="n">
        <v>100.67</v>
      </c>
      <c r="O64" s="61" t="n">
        <v>196.7374216185468</v>
      </c>
      <c r="P64" s="61" t="n">
        <v>28.33999999999999</v>
      </c>
      <c r="Q64" s="61" t="n">
        <v>284.3899382718864</v>
      </c>
      <c r="R64" s="61" t="n">
        <v>64.29918263281901</v>
      </c>
      <c r="S64" s="61" t="n">
        <v>37.25999999999995</v>
      </c>
      <c r="T64" s="61" t="n">
        <v>99.63000000000014</v>
      </c>
      <c r="U64" s="61" t="n">
        <v>5.390000000000001</v>
      </c>
      <c r="V64" s="61" t="n">
        <v>26.16787605831317</v>
      </c>
      <c r="W64" s="61" t="n">
        <v>75.45000000000002</v>
      </c>
      <c r="X64" s="61" t="n">
        <v>67.33999999999993</v>
      </c>
      <c r="Y64" s="61" t="n">
        <v>108.67</v>
      </c>
      <c r="Z64" s="61" t="n">
        <v>28.14628655149354</v>
      </c>
      <c r="AA64" s="61" t="n">
        <v>420.42</v>
      </c>
      <c r="AB64" s="61" t="n">
        <v>110.05</v>
      </c>
      <c r="AC64" s="61" t="n">
        <v>43.57102510348987</v>
      </c>
      <c r="AD64" s="61" t="n">
        <v>109.02</v>
      </c>
      <c r="AE64" s="61" t="n">
        <v>36.09000000000002</v>
      </c>
      <c r="AF64" s="61" t="n">
        <v>87.19000000000001</v>
      </c>
      <c r="AG64" s="61" t="n">
        <v>47.37999999999997</v>
      </c>
      <c r="AH64" s="61" t="n">
        <v>30.49</v>
      </c>
      <c r="AI64" s="61" t="n">
        <v>166.0099999999998</v>
      </c>
      <c r="AJ64" s="61" t="n">
        <v>83.98999999999994</v>
      </c>
      <c r="AK64" s="61" t="n">
        <v>73.46000000000002</v>
      </c>
      <c r="AL64" s="61" t="n">
        <v>67.66999999999997</v>
      </c>
      <c r="AM64" s="61" t="n">
        <v>72.00000000000009</v>
      </c>
      <c r="AN64" s="61" t="n">
        <v>47.99999999999999</v>
      </c>
    </row>
    <row r="65" ht="19" customHeight="1">
      <c r="A65" s="24" t="inlineStr">
        <is>
          <t>2019-12-01</t>
        </is>
      </c>
      <c r="B65" s="61" t="n">
        <v>184.8490624259126</v>
      </c>
      <c r="C65" s="61" t="n">
        <v>121.2495776556827</v>
      </c>
      <c r="D65" s="61" t="n">
        <v>116.4914169393103</v>
      </c>
      <c r="E65" s="61" t="n">
        <v>148.7718771590047</v>
      </c>
      <c r="F65" s="61" t="n">
        <v>51.07862367646682</v>
      </c>
      <c r="G65" s="61" t="n">
        <v>105.2021839376598</v>
      </c>
      <c r="H65" s="61" t="n">
        <v>263.0291859055356</v>
      </c>
      <c r="I65" s="61" t="n">
        <v>58.25917449855903</v>
      </c>
      <c r="J65" s="61" t="n">
        <v>148.5418646053613</v>
      </c>
      <c r="K65" s="61" t="n">
        <v>51.76119626218149</v>
      </c>
      <c r="L65" s="61" t="n">
        <v>102.03</v>
      </c>
      <c r="M65" s="61" t="n">
        <v>15.21000000000001</v>
      </c>
      <c r="N65" s="61" t="n">
        <v>103.39</v>
      </c>
      <c r="O65" s="61" t="n">
        <v>204.38342477233</v>
      </c>
      <c r="P65" s="61" t="n">
        <v>29.17999999999999</v>
      </c>
      <c r="Q65" s="61" t="n">
        <v>292.6531723183143</v>
      </c>
      <c r="R65" s="61" t="n">
        <v>70.6509130900194</v>
      </c>
      <c r="S65" s="61" t="n">
        <v>39.43999999999995</v>
      </c>
      <c r="T65" s="61" t="n">
        <v>106.3300000000002</v>
      </c>
      <c r="U65" s="61" t="n">
        <v>5.850000000000001</v>
      </c>
      <c r="V65" s="61" t="n">
        <v>26.6162364466963</v>
      </c>
      <c r="W65" s="61" t="n">
        <v>76.70000000000003</v>
      </c>
      <c r="X65" s="61" t="n">
        <v>70.72999999999993</v>
      </c>
      <c r="Y65" s="61" t="n">
        <v>121.71</v>
      </c>
      <c r="Z65" s="61" t="n">
        <v>29.91370446920803</v>
      </c>
      <c r="AA65" s="61" t="n">
        <v>429.9499999999999</v>
      </c>
      <c r="AB65" s="61" t="n">
        <v>114.05</v>
      </c>
      <c r="AC65" s="61" t="n">
        <v>45.162108227194</v>
      </c>
      <c r="AD65" s="61" t="n">
        <v>110.46</v>
      </c>
      <c r="AE65" s="61" t="n">
        <v>36.17000000000002</v>
      </c>
      <c r="AF65" s="61" t="n">
        <v>89.71000000000002</v>
      </c>
      <c r="AG65" s="61" t="n">
        <v>51.39999999999996</v>
      </c>
      <c r="AH65" s="61" t="n">
        <v>34.33</v>
      </c>
      <c r="AI65" s="61" t="n">
        <v>168.6899999999998</v>
      </c>
      <c r="AJ65" s="61" t="n">
        <v>91.01999999999992</v>
      </c>
      <c r="AK65" s="61" t="n">
        <v>75.60000000000002</v>
      </c>
      <c r="AL65" s="61" t="n">
        <v>69.99999999999997</v>
      </c>
      <c r="AM65" s="61" t="n">
        <v>74.5000000000001</v>
      </c>
      <c r="AN65" s="61" t="n">
        <v>49.31999999999999</v>
      </c>
    </row>
    <row r="66" ht="19" customHeight="1">
      <c r="A66" s="24" t="inlineStr">
        <is>
          <t>2020-01-01</t>
        </is>
      </c>
      <c r="B66" s="61" t="n">
        <v>193.0766283882237</v>
      </c>
      <c r="C66" s="61" t="n">
        <v>123.7432557607929</v>
      </c>
      <c r="D66" s="61" t="n">
        <v>111.3184544624906</v>
      </c>
      <c r="E66" s="61" t="n">
        <v>160.5925479976203</v>
      </c>
      <c r="F66" s="61" t="n">
        <v>56.5712267360401</v>
      </c>
      <c r="G66" s="61" t="n">
        <v>105.5899637113479</v>
      </c>
      <c r="H66" s="61" t="n">
        <v>243.7659181086407</v>
      </c>
      <c r="I66" s="61" t="n">
        <v>59.62683675909398</v>
      </c>
      <c r="J66" s="61" t="n">
        <v>148.4510302153621</v>
      </c>
      <c r="K66" s="61" t="n">
        <v>46.07918697969783</v>
      </c>
      <c r="L66" s="61" t="n">
        <v>99.47999999999998</v>
      </c>
      <c r="M66" s="61" t="n">
        <v>14.94</v>
      </c>
      <c r="N66" s="61" t="n">
        <v>101.45</v>
      </c>
      <c r="O66" s="61" t="n">
        <v>210.5934107506125</v>
      </c>
      <c r="P66" s="61" t="n">
        <v>30.09999999999999</v>
      </c>
      <c r="Q66" s="61" t="n">
        <v>292.536111049387</v>
      </c>
      <c r="R66" s="61" t="n">
        <v>74.46676890601134</v>
      </c>
      <c r="S66" s="61" t="n">
        <v>38.07999999999995</v>
      </c>
      <c r="T66" s="61" t="n">
        <v>100.7200000000001</v>
      </c>
      <c r="U66" s="61" t="n">
        <v>5.880000000000002</v>
      </c>
      <c r="V66" s="61" t="n">
        <v>25.55664407375332</v>
      </c>
      <c r="W66" s="61" t="n">
        <v>77.27000000000002</v>
      </c>
      <c r="X66" s="61" t="n">
        <v>66.44999999999993</v>
      </c>
      <c r="Y66" s="61" t="n">
        <v>129.31</v>
      </c>
      <c r="Z66" s="61" t="n">
        <v>27.88376048392757</v>
      </c>
      <c r="AA66" s="61" t="n">
        <v>451.0399999999999</v>
      </c>
      <c r="AB66" s="61" t="n">
        <v>119.39</v>
      </c>
      <c r="AC66" s="61" t="n">
        <v>47.65072103894531</v>
      </c>
      <c r="AD66" s="61" t="n">
        <v>114.78</v>
      </c>
      <c r="AE66" s="61" t="n">
        <v>34.85000000000002</v>
      </c>
      <c r="AF66" s="61" t="n">
        <v>79.76000000000002</v>
      </c>
      <c r="AG66" s="61" t="n">
        <v>46.97999999999996</v>
      </c>
      <c r="AH66" s="61" t="n">
        <v>28.62</v>
      </c>
      <c r="AI66" s="61" t="n">
        <v>182.6499999999998</v>
      </c>
      <c r="AJ66" s="61" t="n">
        <v>86.51999999999992</v>
      </c>
      <c r="AK66" s="61" t="n">
        <v>72.94000000000003</v>
      </c>
      <c r="AL66" s="61" t="n">
        <v>74.92999999999998</v>
      </c>
      <c r="AM66" s="61" t="n">
        <v>82.15000000000012</v>
      </c>
      <c r="AN66" s="61" t="n">
        <v>54.50999999999999</v>
      </c>
    </row>
    <row r="67" ht="19" customHeight="1">
      <c r="A67" s="24" t="inlineStr">
        <is>
          <t>2020-02-01</t>
        </is>
      </c>
      <c r="B67" s="61" t="n">
        <v>184.392003414149</v>
      </c>
      <c r="C67" s="61" t="n">
        <v>112.4948460626895</v>
      </c>
      <c r="D67" s="61" t="n">
        <v>97.65173474525574</v>
      </c>
      <c r="E67" s="61" t="n">
        <v>153.2552858194022</v>
      </c>
      <c r="F67" s="61" t="n">
        <v>53.59291304609746</v>
      </c>
      <c r="G67" s="61" t="n">
        <v>95.93926445649394</v>
      </c>
      <c r="H67" s="61" t="n">
        <v>228.1172631015028</v>
      </c>
      <c r="I67" s="61" t="n">
        <v>54.41370863204489</v>
      </c>
      <c r="J67" s="61" t="n">
        <v>136.5764352774559</v>
      </c>
      <c r="K67" s="61" t="n">
        <v>38.70479724945053</v>
      </c>
      <c r="L67" s="61" t="n">
        <v>89.81999999999996</v>
      </c>
      <c r="M67" s="61" t="n">
        <v>13.54</v>
      </c>
      <c r="N67" s="61" t="n">
        <v>92.45000000000003</v>
      </c>
      <c r="O67" s="61" t="n">
        <v>197.8377678614479</v>
      </c>
      <c r="P67" s="61" t="n">
        <v>28.14999999999999</v>
      </c>
      <c r="Q67" s="61" t="n">
        <v>269.376027137607</v>
      </c>
      <c r="R67" s="61" t="n">
        <v>65.92543051249184</v>
      </c>
      <c r="S67" s="61" t="n">
        <v>33.06999999999996</v>
      </c>
      <c r="T67" s="61" t="n">
        <v>95.28000000000014</v>
      </c>
      <c r="U67" s="61" t="n">
        <v>6.720000000000002</v>
      </c>
      <c r="V67" s="61" t="n">
        <v>22.93504352466771</v>
      </c>
      <c r="W67" s="61" t="n">
        <v>68.31000000000003</v>
      </c>
      <c r="X67" s="61" t="n">
        <v>59.53999999999994</v>
      </c>
      <c r="Y67" s="61" t="n">
        <v>117.41</v>
      </c>
      <c r="Z67" s="61" t="n">
        <v>24.20617131370236</v>
      </c>
      <c r="AA67" s="61" t="n">
        <v>396.0099999999999</v>
      </c>
      <c r="AB67" s="61" t="n">
        <v>101.06</v>
      </c>
      <c r="AC67" s="61" t="n">
        <v>43.64424841399078</v>
      </c>
      <c r="AD67" s="61" t="n">
        <v>106.71</v>
      </c>
      <c r="AE67" s="61" t="n">
        <v>32.78000000000002</v>
      </c>
      <c r="AF67" s="61" t="n">
        <v>70.30000000000001</v>
      </c>
      <c r="AG67" s="61" t="n">
        <v>38.53999999999997</v>
      </c>
      <c r="AH67" s="61" t="n">
        <v>23.48</v>
      </c>
      <c r="AI67" s="61" t="n">
        <v>166.7899999999998</v>
      </c>
      <c r="AJ67" s="61" t="n">
        <v>80.51999999999994</v>
      </c>
      <c r="AK67" s="61" t="n">
        <v>67.75000000000003</v>
      </c>
      <c r="AL67" s="61" t="n">
        <v>71.06999999999996</v>
      </c>
      <c r="AM67" s="61" t="n">
        <v>70.8400000000001</v>
      </c>
      <c r="AN67" s="61" t="n">
        <v>47.15999999999999</v>
      </c>
    </row>
    <row r="68" ht="19" customHeight="1">
      <c r="A68" s="24" t="inlineStr">
        <is>
          <t>2020-03-01</t>
        </is>
      </c>
      <c r="B68" s="61" t="n">
        <v>159.0991862992825</v>
      </c>
      <c r="C68" s="61" t="n">
        <v>109.6925126012467</v>
      </c>
      <c r="D68" s="61" t="n">
        <v>75.71772481651249</v>
      </c>
      <c r="E68" s="61" t="n">
        <v>149.1876916083943</v>
      </c>
      <c r="F68" s="61" t="n">
        <v>51.01885599029727</v>
      </c>
      <c r="G68" s="61" t="n">
        <v>93.20249265189199</v>
      </c>
      <c r="H68" s="61" t="n">
        <v>224.0912228937279</v>
      </c>
      <c r="I68" s="61" t="n">
        <v>48.26439191281536</v>
      </c>
      <c r="J68" s="61" t="n">
        <v>117.6118316437837</v>
      </c>
      <c r="K68" s="61" t="n">
        <v>28.56962305944406</v>
      </c>
      <c r="L68" s="61" t="n">
        <v>76.49999999999997</v>
      </c>
      <c r="M68" s="61" t="n">
        <v>11.94</v>
      </c>
      <c r="N68" s="61" t="n">
        <v>75.81000000000002</v>
      </c>
      <c r="O68" s="61" t="n">
        <v>183.4233080950628</v>
      </c>
      <c r="P68" s="61" t="n">
        <v>25.16999999999999</v>
      </c>
      <c r="Q68" s="61" t="n">
        <v>235.739042628934</v>
      </c>
      <c r="R68" s="61" t="n">
        <v>61.32647247994041</v>
      </c>
      <c r="S68" s="61" t="n">
        <v>32.55999999999996</v>
      </c>
      <c r="T68" s="61" t="n">
        <v>83.42000000000013</v>
      </c>
      <c r="U68" s="61" t="n">
        <v>6.560000000000001</v>
      </c>
      <c r="V68" s="61" t="n">
        <v>22.39973960880196</v>
      </c>
      <c r="W68" s="61" t="n">
        <v>69.97000000000003</v>
      </c>
      <c r="X68" s="61" t="n">
        <v>60.32999999999993</v>
      </c>
      <c r="Y68" s="61" t="n">
        <v>129.13</v>
      </c>
      <c r="Z68" s="61" t="n">
        <v>18.14664044874325</v>
      </c>
      <c r="AA68" s="61" t="n">
        <v>379.1599999999999</v>
      </c>
      <c r="AB68" s="61" t="n">
        <v>78.7</v>
      </c>
      <c r="AC68" s="61" t="n">
        <v>36.42156174395944</v>
      </c>
      <c r="AD68" s="61" t="n">
        <v>97.71999999999996</v>
      </c>
      <c r="AE68" s="61" t="n">
        <v>34.74000000000002</v>
      </c>
      <c r="AF68" s="61" t="n">
        <v>54.57000000000001</v>
      </c>
      <c r="AG68" s="61" t="n">
        <v>24.51999999999998</v>
      </c>
      <c r="AH68" s="61" t="n">
        <v>11.69</v>
      </c>
      <c r="AI68" s="61" t="n">
        <v>142.0299999999999</v>
      </c>
      <c r="AJ68" s="61" t="n">
        <v>74.53999999999995</v>
      </c>
      <c r="AK68" s="61" t="n">
        <v>56.79000000000002</v>
      </c>
      <c r="AL68" s="61" t="n">
        <v>62.67999999999997</v>
      </c>
      <c r="AM68" s="61" t="n">
        <v>63.48000000000009</v>
      </c>
      <c r="AN68" s="61" t="n">
        <v>42.29999999999999</v>
      </c>
    </row>
    <row r="69" ht="19" customHeight="1">
      <c r="A69" s="24" t="inlineStr">
        <is>
          <t>2020-04-01</t>
        </is>
      </c>
      <c r="B69" s="61" t="n">
        <v>187.3213647301921</v>
      </c>
      <c r="C69" s="61" t="n">
        <v>125.511039269811</v>
      </c>
      <c r="D69" s="61" t="n">
        <v>81.37370945871426</v>
      </c>
      <c r="E69" s="61" t="n">
        <v>169.5258607615479</v>
      </c>
      <c r="F69" s="61" t="n">
        <v>49.00456063959051</v>
      </c>
      <c r="G69" s="61" t="n">
        <v>100.5367659611935</v>
      </c>
      <c r="H69" s="61" t="n">
        <v>262.811665631689</v>
      </c>
      <c r="I69" s="61" t="n">
        <v>52.78609904858702</v>
      </c>
      <c r="J69" s="61" t="n">
        <v>133.0580153094763</v>
      </c>
      <c r="K69" s="61" t="n">
        <v>34.96524479017933</v>
      </c>
      <c r="L69" s="61" t="n">
        <v>84.65999999999997</v>
      </c>
      <c r="M69" s="61" t="n">
        <v>13.44</v>
      </c>
      <c r="N69" s="61" t="n">
        <v>86.74000000000001</v>
      </c>
      <c r="O69" s="61" t="n">
        <v>210.8885639792933</v>
      </c>
      <c r="P69" s="61" t="n">
        <v>28.95999999999999</v>
      </c>
      <c r="Q69" s="61" t="n">
        <v>265.6741292181266</v>
      </c>
      <c r="R69" s="61" t="n">
        <v>70.85501181503868</v>
      </c>
      <c r="S69" s="61" t="n">
        <v>35.43999999999995</v>
      </c>
      <c r="T69" s="61" t="n">
        <v>96.90000000000015</v>
      </c>
      <c r="U69" s="61" t="n">
        <v>7.270000000000001</v>
      </c>
      <c r="V69" s="61" t="n">
        <v>26.32518197654646</v>
      </c>
      <c r="W69" s="61" t="n">
        <v>82.00000000000003</v>
      </c>
      <c r="X69" s="61" t="n">
        <v>62.20999999999993</v>
      </c>
      <c r="Y69" s="61" t="n">
        <v>143.95</v>
      </c>
      <c r="Z69" s="61" t="n">
        <v>20.55707684619027</v>
      </c>
      <c r="AA69" s="61" t="n">
        <v>432.6499999999999</v>
      </c>
      <c r="AB69" s="61" t="n">
        <v>84.34999999999999</v>
      </c>
      <c r="AC69" s="61" t="n">
        <v>37.77141766531407</v>
      </c>
      <c r="AD69" s="61" t="n">
        <v>107.64</v>
      </c>
      <c r="AE69" s="61" t="n">
        <v>37.16000000000003</v>
      </c>
      <c r="AF69" s="61" t="n">
        <v>69.29000000000002</v>
      </c>
      <c r="AG69" s="61" t="n">
        <v>33.50999999999997</v>
      </c>
      <c r="AH69" s="61" t="n">
        <v>14.58</v>
      </c>
      <c r="AI69" s="61" t="n">
        <v>161.1099999999999</v>
      </c>
      <c r="AJ69" s="61" t="n">
        <v>78.53999999999995</v>
      </c>
      <c r="AK69" s="61" t="n">
        <v>66.28000000000003</v>
      </c>
      <c r="AL69" s="61" t="n">
        <v>65.60999999999997</v>
      </c>
      <c r="AM69" s="61" t="n">
        <v>65.96000000000008</v>
      </c>
      <c r="AN69" s="61" t="n">
        <v>44.32</v>
      </c>
    </row>
    <row r="70" ht="19" customHeight="1">
      <c r="A70" s="24" t="inlineStr">
        <is>
          <t>2020-05-01</t>
        </is>
      </c>
      <c r="B70" s="61" t="n">
        <v>211.7345754979299</v>
      </c>
      <c r="C70" s="61" t="n">
        <v>125.2945044870867</v>
      </c>
      <c r="D70" s="61" t="n">
        <v>82.69085239394276</v>
      </c>
      <c r="E70" s="61" t="n">
        <v>173.8303505480922</v>
      </c>
      <c r="F70" s="61" t="n">
        <v>54.18659230255595</v>
      </c>
      <c r="G70" s="61" t="n">
        <v>98.87351546401426</v>
      </c>
      <c r="H70" s="61" t="n">
        <v>273.9362934250441</v>
      </c>
      <c r="I70" s="61" t="n">
        <v>55.06482215841547</v>
      </c>
      <c r="J70" s="61" t="n">
        <v>140.2382861963086</v>
      </c>
      <c r="K70" s="61" t="n">
        <v>34.87618457041754</v>
      </c>
      <c r="L70" s="61" t="n">
        <v>87.09999999999997</v>
      </c>
      <c r="M70" s="61" t="n">
        <v>13.94</v>
      </c>
      <c r="N70" s="61" t="n">
        <v>90.87</v>
      </c>
      <c r="O70" s="61" t="n">
        <v>224.8091071990024</v>
      </c>
      <c r="P70" s="61" t="n">
        <v>31.00999999999999</v>
      </c>
      <c r="Q70" s="61" t="n">
        <v>278.3321731047242</v>
      </c>
      <c r="R70" s="61" t="n">
        <v>76.88434819042759</v>
      </c>
      <c r="S70" s="61" t="n">
        <v>39.97999999999994</v>
      </c>
      <c r="T70" s="61" t="n">
        <v>99.90000000000015</v>
      </c>
      <c r="U70" s="61" t="n">
        <v>8.830000000000002</v>
      </c>
      <c r="V70" s="61" t="n">
        <v>26.46970722559771</v>
      </c>
      <c r="W70" s="61" t="n">
        <v>84.53000000000002</v>
      </c>
      <c r="X70" s="61" t="n">
        <v>63.28999999999992</v>
      </c>
      <c r="Y70" s="61" t="n">
        <v>143.04</v>
      </c>
      <c r="Z70" s="61" t="n">
        <v>20.61691849688953</v>
      </c>
      <c r="AA70" s="61" t="n">
        <v>455.5699999999999</v>
      </c>
      <c r="AB70" s="61" t="n">
        <v>87.88</v>
      </c>
      <c r="AC70" s="61" t="n">
        <v>38.42165262042245</v>
      </c>
      <c r="AD70" s="61" t="n">
        <v>107.04</v>
      </c>
      <c r="AE70" s="61" t="n">
        <v>38.10000000000003</v>
      </c>
      <c r="AF70" s="61" t="n">
        <v>70.07000000000001</v>
      </c>
      <c r="AG70" s="61" t="n">
        <v>33.90999999999996</v>
      </c>
      <c r="AH70" s="61" t="n">
        <v>16.01</v>
      </c>
      <c r="AI70" s="61" t="n">
        <v>161.1099999999999</v>
      </c>
      <c r="AJ70" s="61" t="n">
        <v>89.02999999999993</v>
      </c>
      <c r="AK70" s="61" t="n">
        <v>67.75000000000004</v>
      </c>
      <c r="AL70" s="61" t="n">
        <v>67.13999999999997</v>
      </c>
      <c r="AM70" s="61" t="n">
        <v>68.26000000000009</v>
      </c>
      <c r="AN70" s="61" t="n">
        <v>45.11</v>
      </c>
    </row>
    <row r="71" ht="19" customHeight="1">
      <c r="A71" s="24" t="inlineStr">
        <is>
          <t>2020-06-01</t>
        </is>
      </c>
      <c r="B71" s="61" t="n">
        <v>214.7389716115561</v>
      </c>
      <c r="C71" s="61" t="n">
        <v>118.4549189296468</v>
      </c>
      <c r="D71" s="61" t="n">
        <v>79.92912858671814</v>
      </c>
      <c r="E71" s="61" t="n">
        <v>193.0488995599979</v>
      </c>
      <c r="F71" s="61" t="n">
        <v>51.20393402829649</v>
      </c>
      <c r="G71" s="61" t="n">
        <v>101.9867692784528</v>
      </c>
      <c r="H71" s="61" t="n">
        <v>266.1816604530885</v>
      </c>
      <c r="I71" s="61" t="n">
        <v>54.45305308553192</v>
      </c>
      <c r="J71" s="61" t="n">
        <v>143.4611775593457</v>
      </c>
      <c r="K71" s="61" t="n">
        <v>34.30091428697403</v>
      </c>
      <c r="L71" s="61" t="n">
        <v>86.21999999999997</v>
      </c>
      <c r="M71" s="61" t="n">
        <v>13.85</v>
      </c>
      <c r="N71" s="61" t="n">
        <v>92.19</v>
      </c>
      <c r="O71" s="61" t="n">
        <v>238.9421813412821</v>
      </c>
      <c r="P71" s="61" t="n">
        <v>32.52999999999998</v>
      </c>
      <c r="Q71" s="61" t="n">
        <v>283.2681158625633</v>
      </c>
      <c r="R71" s="61" t="n">
        <v>88.21602473282195</v>
      </c>
      <c r="S71" s="61" t="n">
        <v>38.99999999999994</v>
      </c>
      <c r="T71" s="61" t="n">
        <v>106.8200000000001</v>
      </c>
      <c r="U71" s="61" t="n">
        <v>9.450000000000001</v>
      </c>
      <c r="V71" s="61" t="n">
        <v>22.66468681191803</v>
      </c>
      <c r="W71" s="61" t="n">
        <v>81.42000000000002</v>
      </c>
      <c r="X71" s="61" t="n">
        <v>61.11999999999993</v>
      </c>
      <c r="Y71" s="61" t="n">
        <v>153.55</v>
      </c>
      <c r="Z71" s="61" t="n">
        <v>20.44229319722087</v>
      </c>
      <c r="AA71" s="61" t="n">
        <v>472.0099999999998</v>
      </c>
      <c r="AB71" s="61" t="n">
        <v>88.00000000000001</v>
      </c>
      <c r="AC71" s="61" t="n">
        <v>37.10955318343503</v>
      </c>
      <c r="AD71" s="61" t="n">
        <v>108.4499999999999</v>
      </c>
      <c r="AE71" s="61" t="n">
        <v>36.78000000000003</v>
      </c>
      <c r="AF71" s="61" t="n">
        <v>68.19000000000001</v>
      </c>
      <c r="AG71" s="61" t="n">
        <v>33.77999999999997</v>
      </c>
      <c r="AH71" s="61" t="n">
        <v>16.05</v>
      </c>
      <c r="AI71" s="61" t="n">
        <v>159.5099999999998</v>
      </c>
      <c r="AJ71" s="61" t="n">
        <v>88.54999999999993</v>
      </c>
      <c r="AK71" s="61" t="n">
        <v>63.93000000000004</v>
      </c>
      <c r="AL71" s="61" t="n">
        <v>62.63999999999997</v>
      </c>
      <c r="AM71" s="61" t="n">
        <v>63.77000000000009</v>
      </c>
      <c r="AN71" s="61" t="n">
        <v>40.99</v>
      </c>
    </row>
    <row r="72" ht="19" customHeight="1">
      <c r="A72" s="24" t="inlineStr">
        <is>
          <t>2020-07-01</t>
        </is>
      </c>
      <c r="B72" s="61" t="n">
        <v>227.579970000565</v>
      </c>
      <c r="C72" s="61" t="n">
        <v>122.7759710039858</v>
      </c>
      <c r="D72" s="61" t="n">
        <v>82.9217513334644</v>
      </c>
      <c r="E72" s="61" t="n">
        <v>194.4718290220483</v>
      </c>
      <c r="F72" s="61" t="n">
        <v>59.84488489362176</v>
      </c>
      <c r="G72" s="61" t="n">
        <v>112.5440553480116</v>
      </c>
      <c r="H72" s="61" t="n">
        <v>273.2479610367872</v>
      </c>
      <c r="I72" s="61" t="n">
        <v>56.94085015747504</v>
      </c>
      <c r="J72" s="61" t="n">
        <v>151.7005936993164</v>
      </c>
      <c r="K72" s="61" t="n">
        <v>32.27600632408229</v>
      </c>
      <c r="L72" s="61" t="n">
        <v>89.43999999999996</v>
      </c>
      <c r="M72" s="61" t="n">
        <v>14.58000000000001</v>
      </c>
      <c r="N72" s="61" t="n">
        <v>96.8</v>
      </c>
      <c r="O72" s="61" t="n">
        <v>256.4960686935194</v>
      </c>
      <c r="P72" s="61" t="n">
        <v>34.98999999999998</v>
      </c>
      <c r="Q72" s="61" t="n">
        <v>299.9503417419414</v>
      </c>
      <c r="R72" s="61" t="n">
        <v>102.7833133290023</v>
      </c>
      <c r="S72" s="61" t="n">
        <v>39.68999999999994</v>
      </c>
      <c r="T72" s="61" t="n">
        <v>108.0500000000002</v>
      </c>
      <c r="U72" s="61" t="n">
        <v>10.57</v>
      </c>
      <c r="V72" s="61" t="n">
        <v>26.93151808644291</v>
      </c>
      <c r="W72" s="61" t="n">
        <v>89.97000000000001</v>
      </c>
      <c r="X72" s="61" t="n">
        <v>63.41999999999993</v>
      </c>
      <c r="Y72" s="61" t="n">
        <v>140.56</v>
      </c>
      <c r="Z72" s="61" t="n">
        <v>21.41491706525145</v>
      </c>
      <c r="AA72" s="61" t="n">
        <v>498.8399999999998</v>
      </c>
      <c r="AB72" s="61" t="n">
        <v>86.66000000000001</v>
      </c>
      <c r="AC72" s="61" t="n">
        <v>39.23578214263312</v>
      </c>
      <c r="AD72" s="61" t="n">
        <v>112.8799999999999</v>
      </c>
      <c r="AE72" s="61" t="n">
        <v>39.74000000000003</v>
      </c>
      <c r="AF72" s="61" t="n">
        <v>64.14000000000001</v>
      </c>
      <c r="AG72" s="61" t="n">
        <v>30.36999999999997</v>
      </c>
      <c r="AH72" s="61" t="n">
        <v>15.83</v>
      </c>
      <c r="AI72" s="61" t="n">
        <v>167.9899999999998</v>
      </c>
      <c r="AJ72" s="61" t="n">
        <v>88.15999999999993</v>
      </c>
      <c r="AK72" s="61" t="n">
        <v>66.48000000000003</v>
      </c>
      <c r="AL72" s="61" t="n">
        <v>66.43999999999997</v>
      </c>
      <c r="AM72" s="61" t="n">
        <v>69.57000000000008</v>
      </c>
      <c r="AN72" s="61" t="n">
        <v>43.17</v>
      </c>
    </row>
    <row r="73" ht="19" customHeight="1">
      <c r="A73" s="24" t="inlineStr">
        <is>
          <t>2020-08-01</t>
        </is>
      </c>
      <c r="B73" s="61" t="n">
        <v>244.3383993722604</v>
      </c>
      <c r="C73" s="61" t="n">
        <v>130.079752559715</v>
      </c>
      <c r="D73" s="61" t="n">
        <v>85.96781826771594</v>
      </c>
      <c r="E73" s="61" t="n">
        <v>214.4541896464895</v>
      </c>
      <c r="F73" s="61" t="n">
        <v>59.81886314077232</v>
      </c>
      <c r="G73" s="61" t="n">
        <v>118.7325882479806</v>
      </c>
      <c r="H73" s="61" t="n">
        <v>282.0649540973068</v>
      </c>
      <c r="I73" s="61" t="n">
        <v>58.49460447402149</v>
      </c>
      <c r="J73" s="61" t="n">
        <v>162.478751280389</v>
      </c>
      <c r="K73" s="61" t="n">
        <v>31.23893902554184</v>
      </c>
      <c r="L73" s="61" t="n">
        <v>93.17999999999996</v>
      </c>
      <c r="M73" s="61" t="n">
        <v>15.33000000000001</v>
      </c>
      <c r="N73" s="61" t="n">
        <v>100.93</v>
      </c>
      <c r="O73" s="61" t="n">
        <v>284.568793923819</v>
      </c>
      <c r="P73" s="61" t="n">
        <v>38.51999999999997</v>
      </c>
      <c r="Q73" s="61" t="n">
        <v>320.8859757445036</v>
      </c>
      <c r="R73" s="61" t="n">
        <v>125.042992713351</v>
      </c>
      <c r="S73" s="61" t="n">
        <v>35.57999999999996</v>
      </c>
      <c r="T73" s="61" t="n">
        <v>120.4200000000002</v>
      </c>
      <c r="U73" s="61" t="n">
        <v>13.31</v>
      </c>
      <c r="V73" s="61" t="n">
        <v>26.44863596715299</v>
      </c>
      <c r="W73" s="61" t="n">
        <v>97.86</v>
      </c>
      <c r="X73" s="61" t="n">
        <v>67.38999999999992</v>
      </c>
      <c r="Y73" s="61" t="n">
        <v>139.46</v>
      </c>
      <c r="Z73" s="61" t="n">
        <v>22.15514508852893</v>
      </c>
      <c r="AA73" s="61" t="n">
        <v>515.4799999999998</v>
      </c>
      <c r="AB73" s="61" t="n">
        <v>94.34000000000002</v>
      </c>
      <c r="AC73" s="61" t="n">
        <v>41.1377759177794</v>
      </c>
      <c r="AD73" s="61" t="n">
        <v>114.8499999999999</v>
      </c>
      <c r="AE73" s="61" t="n">
        <v>42.81000000000003</v>
      </c>
      <c r="AF73" s="61" t="n">
        <v>65.06000000000002</v>
      </c>
      <c r="AG73" s="61" t="n">
        <v>30.76999999999996</v>
      </c>
      <c r="AH73" s="61" t="n">
        <v>16.59</v>
      </c>
      <c r="AI73" s="61" t="n">
        <v>185.7099999999998</v>
      </c>
      <c r="AJ73" s="61" t="n">
        <v>101.2799999999999</v>
      </c>
      <c r="AK73" s="61" t="n">
        <v>73.78000000000003</v>
      </c>
      <c r="AL73" s="61" t="n">
        <v>63.71999999999997</v>
      </c>
      <c r="AM73" s="61" t="n">
        <v>63.65000000000008</v>
      </c>
      <c r="AN73" s="61" t="n">
        <v>41.73</v>
      </c>
    </row>
    <row r="74" ht="19" customHeight="1">
      <c r="A74" s="24" t="inlineStr">
        <is>
          <t>2020-09-01</t>
        </is>
      </c>
      <c r="B74" s="61" t="n">
        <v>239.3104296898483</v>
      </c>
      <c r="C74" s="61" t="n">
        <v>126.2387037731141</v>
      </c>
      <c r="D74" s="61" t="n">
        <v>82.60426814616477</v>
      </c>
      <c r="E74" s="61" t="n">
        <v>200.000617195618</v>
      </c>
      <c r="F74" s="61" t="n">
        <v>59.47387064884463</v>
      </c>
      <c r="G74" s="61" t="n">
        <v>119.2990886162744</v>
      </c>
      <c r="H74" s="61" t="n">
        <v>282.5204441498462</v>
      </c>
      <c r="I74" s="61" t="n">
        <v>57.52056518913307</v>
      </c>
      <c r="J74" s="61" t="n">
        <v>156.7308969633802</v>
      </c>
      <c r="K74" s="61" t="n">
        <v>26.85109815691628</v>
      </c>
      <c r="L74" s="61" t="n">
        <v>91.11999999999996</v>
      </c>
      <c r="M74" s="61" t="n">
        <v>14.94</v>
      </c>
      <c r="N74" s="61" t="n">
        <v>98.39</v>
      </c>
      <c r="O74" s="61" t="n">
        <v>268.1235633229616</v>
      </c>
      <c r="P74" s="61" t="n">
        <v>36.69999999999997</v>
      </c>
      <c r="Q74" s="61" t="n">
        <v>308.8720048126294</v>
      </c>
      <c r="R74" s="61" t="n">
        <v>112.2223346704511</v>
      </c>
      <c r="S74" s="61" t="n">
        <v>33.19999999999997</v>
      </c>
      <c r="T74" s="61" t="n">
        <v>120.9600000000002</v>
      </c>
      <c r="U74" s="61" t="n">
        <v>13.47</v>
      </c>
      <c r="V74" s="61" t="n">
        <v>25.6858573058603</v>
      </c>
      <c r="W74" s="61" t="n">
        <v>97.29000000000001</v>
      </c>
      <c r="X74" s="61" t="n">
        <v>66.03999999999992</v>
      </c>
      <c r="Y74" s="61" t="n">
        <v>139.11</v>
      </c>
      <c r="Z74" s="61" t="n">
        <v>20.87945183433144</v>
      </c>
      <c r="AA74" s="61" t="n">
        <v>491.8299999999998</v>
      </c>
      <c r="AB74" s="61" t="n">
        <v>93.09000000000002</v>
      </c>
      <c r="AC74" s="61" t="n">
        <v>41.33680047766961</v>
      </c>
      <c r="AD74" s="61" t="n">
        <v>114.4699999999999</v>
      </c>
      <c r="AE74" s="61" t="n">
        <v>43.14000000000003</v>
      </c>
      <c r="AF74" s="61" t="n">
        <v>55.81000000000001</v>
      </c>
      <c r="AG74" s="61" t="n">
        <v>26.66999999999997</v>
      </c>
      <c r="AH74" s="61" t="n">
        <v>13.67</v>
      </c>
      <c r="AI74" s="61" t="n">
        <v>190.8999999999998</v>
      </c>
      <c r="AJ74" s="61" t="n">
        <v>113.6299999999999</v>
      </c>
      <c r="AK74" s="61" t="n">
        <v>75.05000000000004</v>
      </c>
      <c r="AL74" s="61" t="n">
        <v>70.23999999999997</v>
      </c>
      <c r="AM74" s="61" t="n">
        <v>65.99000000000008</v>
      </c>
      <c r="AN74" s="61" t="n">
        <v>43.36</v>
      </c>
    </row>
    <row r="75" ht="19" customHeight="1">
      <c r="A75" s="24" t="inlineStr">
        <is>
          <t>2020-10-01</t>
        </is>
      </c>
      <c r="B75" s="61" t="n">
        <v>229.8314400119366</v>
      </c>
      <c r="C75" s="61" t="n">
        <v>116.2586126973119</v>
      </c>
      <c r="D75" s="61" t="n">
        <v>84.90361131237049</v>
      </c>
      <c r="E75" s="61" t="n">
        <v>192.5266523311974</v>
      </c>
      <c r="F75" s="61" t="n">
        <v>62.74799031306082</v>
      </c>
      <c r="G75" s="61" t="n">
        <v>118.3302608369207</v>
      </c>
      <c r="H75" s="61" t="n">
        <v>276.5125121427479</v>
      </c>
      <c r="I75" s="61" t="n">
        <v>55.6522635822594</v>
      </c>
      <c r="J75" s="61" t="n">
        <v>153.675682344594</v>
      </c>
      <c r="K75" s="61" t="n">
        <v>25.51362189262696</v>
      </c>
      <c r="L75" s="61" t="n">
        <v>89.45999999999995</v>
      </c>
      <c r="M75" s="61" t="n">
        <v>15.00000000000001</v>
      </c>
      <c r="N75" s="61" t="n">
        <v>97.84999999999999</v>
      </c>
      <c r="O75" s="61" t="n">
        <v>259.9592008197774</v>
      </c>
      <c r="P75" s="61" t="n">
        <v>35.59999999999997</v>
      </c>
      <c r="Q75" s="61" t="n">
        <v>301.1718257326506</v>
      </c>
      <c r="R75" s="61" t="n">
        <v>105.4878723668774</v>
      </c>
      <c r="S75" s="61" t="n">
        <v>30.52999999999997</v>
      </c>
      <c r="T75" s="61" t="n">
        <v>123.3600000000002</v>
      </c>
      <c r="U75" s="61" t="n">
        <v>12.48</v>
      </c>
      <c r="V75" s="61" t="n">
        <v>24.8320594090135</v>
      </c>
      <c r="W75" s="61" t="n">
        <v>94.28</v>
      </c>
      <c r="X75" s="61" t="n">
        <v>59.86999999999992</v>
      </c>
      <c r="Y75" s="61" t="n">
        <v>122.6</v>
      </c>
      <c r="Z75" s="61" t="n">
        <v>20.54141350913361</v>
      </c>
      <c r="AA75" s="61" t="n">
        <v>522.9499999999997</v>
      </c>
      <c r="AB75" s="61" t="n">
        <v>85.08000000000001</v>
      </c>
      <c r="AC75" s="61" t="n">
        <v>40.24013516099703</v>
      </c>
      <c r="AD75" s="61" t="n">
        <v>110.0799999999999</v>
      </c>
      <c r="AE75" s="61" t="n">
        <v>42.78000000000003</v>
      </c>
      <c r="AF75" s="61" t="n">
        <v>53.88000000000001</v>
      </c>
      <c r="AG75" s="61" t="n">
        <v>23.52999999999998</v>
      </c>
      <c r="AH75" s="61" t="n">
        <v>13.12</v>
      </c>
      <c r="AI75" s="61" t="n">
        <v>185.2599999999998</v>
      </c>
      <c r="AJ75" s="61" t="n">
        <v>108.6899999999999</v>
      </c>
      <c r="AK75" s="61" t="n">
        <v>75.96000000000004</v>
      </c>
      <c r="AL75" s="61" t="n">
        <v>73.04999999999997</v>
      </c>
      <c r="AM75" s="61" t="n">
        <v>72.61000000000008</v>
      </c>
      <c r="AN75" s="61" t="n">
        <v>45.95</v>
      </c>
    </row>
    <row r="76" ht="19" customHeight="1">
      <c r="A76" s="24" t="inlineStr">
        <is>
          <t>2020-11-01</t>
        </is>
      </c>
      <c r="B76" s="61" t="n">
        <v>239.0518664466008</v>
      </c>
      <c r="C76" s="61" t="n">
        <v>123.5298106863754</v>
      </c>
      <c r="D76" s="61" t="n">
        <v>102.0852807251832</v>
      </c>
      <c r="E76" s="61" t="n">
        <v>204.0898916324692</v>
      </c>
      <c r="F76" s="61" t="n">
        <v>63.36947263778133</v>
      </c>
      <c r="G76" s="61" t="n">
        <v>119.8579146807278</v>
      </c>
      <c r="H76" s="61" t="n">
        <v>304.7853598896569</v>
      </c>
      <c r="I76" s="61" t="n">
        <v>60.15606136418101</v>
      </c>
      <c r="J76" s="61" t="n">
        <v>171.8141317804338</v>
      </c>
      <c r="K76" s="61" t="n">
        <v>30.5427893256093</v>
      </c>
      <c r="L76" s="61" t="n">
        <v>100.87</v>
      </c>
      <c r="M76" s="61" t="n">
        <v>16.98000000000001</v>
      </c>
      <c r="N76" s="61" t="n">
        <v>111.84</v>
      </c>
      <c r="O76" s="61" t="n">
        <v>289.1417007854039</v>
      </c>
      <c r="P76" s="61" t="n">
        <v>39.28999999999996</v>
      </c>
      <c r="Q76" s="61" t="n">
        <v>333.9323934203711</v>
      </c>
      <c r="R76" s="61" t="n">
        <v>115.5612257628076</v>
      </c>
      <c r="S76" s="61" t="n">
        <v>36.58999999999996</v>
      </c>
      <c r="T76" s="61" t="n">
        <v>137.5800000000003</v>
      </c>
      <c r="U76" s="61" t="n">
        <v>13.34</v>
      </c>
      <c r="V76" s="61" t="n">
        <v>28.55125627493909</v>
      </c>
      <c r="W76" s="61" t="n">
        <v>97.06999999999999</v>
      </c>
      <c r="X76" s="61" t="n">
        <v>63.99999999999991</v>
      </c>
      <c r="Y76" s="61" t="n">
        <v>137.58</v>
      </c>
      <c r="Z76" s="61" t="n">
        <v>24.40701995176343</v>
      </c>
      <c r="AA76" s="61" t="n">
        <v>609.4799999999997</v>
      </c>
      <c r="AB76" s="61" t="n">
        <v>110.58</v>
      </c>
      <c r="AC76" s="61" t="n">
        <v>43.54292473460619</v>
      </c>
      <c r="AD76" s="61" t="n">
        <v>119.1199999999999</v>
      </c>
      <c r="AE76" s="61" t="n">
        <v>47.11000000000003</v>
      </c>
      <c r="AF76" s="61" t="n">
        <v>68.58</v>
      </c>
      <c r="AG76" s="61" t="n">
        <v>32.51999999999997</v>
      </c>
      <c r="AH76" s="61" t="n">
        <v>18.26</v>
      </c>
      <c r="AI76" s="61" t="n">
        <v>190.2399999999998</v>
      </c>
      <c r="AJ76" s="61" t="n">
        <v>121.9199999999999</v>
      </c>
      <c r="AK76" s="61" t="n">
        <v>86.02000000000005</v>
      </c>
      <c r="AL76" s="61" t="n">
        <v>74.22999999999998</v>
      </c>
      <c r="AM76" s="61" t="n">
        <v>69.10000000000008</v>
      </c>
      <c r="AN76" s="61" t="n">
        <v>48.34999999999999</v>
      </c>
    </row>
    <row r="77" ht="19" customHeight="1">
      <c r="A77" s="24" t="inlineStr">
        <is>
          <t>2020-12-01</t>
        </is>
      </c>
      <c r="B77" s="61" t="n">
        <v>230.1401842656597</v>
      </c>
      <c r="C77" s="61" t="n">
        <v>134.3733247921722</v>
      </c>
      <c r="D77" s="61" t="n">
        <v>110.0438750380945</v>
      </c>
      <c r="E77" s="61" t="n">
        <v>212.0506160268784</v>
      </c>
      <c r="F77" s="61" t="n">
        <v>66.43505198955899</v>
      </c>
      <c r="G77" s="61" t="n">
        <v>120.0909731220762</v>
      </c>
      <c r="H77" s="61" t="n">
        <v>318.9233344470506</v>
      </c>
      <c r="I77" s="61" t="n">
        <v>61.54437398887124</v>
      </c>
      <c r="J77" s="61" t="n">
        <v>179.8487165730174</v>
      </c>
      <c r="K77" s="61" t="n">
        <v>33.01793320473958</v>
      </c>
      <c r="L77" s="61" t="n">
        <v>104.41</v>
      </c>
      <c r="M77" s="61" t="n">
        <v>17.49000000000001</v>
      </c>
      <c r="N77" s="61" t="n">
        <v>116.48</v>
      </c>
      <c r="O77" s="61" t="n">
        <v>303.3165835247076</v>
      </c>
      <c r="P77" s="61" t="n">
        <v>40.92999999999996</v>
      </c>
      <c r="Q77" s="61" t="n">
        <v>346.3039207318089</v>
      </c>
      <c r="R77" s="61" t="n">
        <v>128.8015376433555</v>
      </c>
      <c r="S77" s="61" t="n">
        <v>38.05999999999996</v>
      </c>
      <c r="T77" s="61" t="n">
        <v>140.0400000000003</v>
      </c>
      <c r="U77" s="61" t="n">
        <v>13</v>
      </c>
      <c r="V77" s="61" t="n">
        <v>27.43347459177522</v>
      </c>
      <c r="W77" s="61" t="n">
        <v>98.19999999999999</v>
      </c>
      <c r="X77" s="61" t="n">
        <v>65.63999999999992</v>
      </c>
      <c r="Y77" s="61" t="n">
        <v>159.48</v>
      </c>
      <c r="Z77" s="61" t="n">
        <v>26.434218214917</v>
      </c>
      <c r="AA77" s="61" t="n">
        <v>632.9099999999996</v>
      </c>
      <c r="AB77" s="61" t="n">
        <v>112.75</v>
      </c>
      <c r="AC77" s="61" t="n">
        <v>46.27702852161685</v>
      </c>
      <c r="AD77" s="61" t="n">
        <v>123.3499999999999</v>
      </c>
      <c r="AE77" s="61" t="n">
        <v>44.61000000000003</v>
      </c>
      <c r="AF77" s="61" t="n">
        <v>66.43000000000001</v>
      </c>
      <c r="AG77" s="61" t="n">
        <v>32.87999999999997</v>
      </c>
      <c r="AH77" s="61" t="n">
        <v>19.29</v>
      </c>
      <c r="AI77" s="61" t="n">
        <v>187.7399999999998</v>
      </c>
      <c r="AJ77" s="61" t="n">
        <v>128.3099999999999</v>
      </c>
      <c r="AK77" s="61" t="n">
        <v>93.88000000000005</v>
      </c>
      <c r="AL77" s="61" t="n">
        <v>73.34999999999997</v>
      </c>
      <c r="AM77" s="61" t="n">
        <v>67.78000000000009</v>
      </c>
      <c r="AN77" s="61" t="n">
        <v>49.63</v>
      </c>
    </row>
    <row r="78" ht="19" customHeight="1">
      <c r="A78" s="24" t="inlineStr">
        <is>
          <t>2021-01-01</t>
        </is>
      </c>
      <c r="B78" s="61" t="n">
        <v>234.6456264555988</v>
      </c>
      <c r="C78" s="61" t="n">
        <v>139.2827123971039</v>
      </c>
      <c r="D78" s="61" t="n">
        <v>112.2319745742186</v>
      </c>
      <c r="E78" s="61" t="n">
        <v>221.1458971989711</v>
      </c>
      <c r="F78" s="61" t="n">
        <v>69.63842230902044</v>
      </c>
      <c r="G78" s="61" t="n">
        <v>111.3248142494217</v>
      </c>
      <c r="H78" s="61" t="n">
        <v>303.3718787246498</v>
      </c>
      <c r="I78" s="61" t="n">
        <v>59.86703980442735</v>
      </c>
      <c r="J78" s="61" t="n">
        <v>179.2480921805117</v>
      </c>
      <c r="K78" s="61" t="n">
        <v>35.91760517791879</v>
      </c>
      <c r="L78" s="61" t="n">
        <v>103.59</v>
      </c>
      <c r="M78" s="61" t="n">
        <v>17.34000000000001</v>
      </c>
      <c r="N78" s="61" t="n">
        <v>115.53</v>
      </c>
      <c r="O78" s="61" t="n">
        <v>304.1094530740411</v>
      </c>
      <c r="P78" s="61" t="n">
        <v>40.50999999999996</v>
      </c>
      <c r="Q78" s="61" t="n">
        <v>342.7750837795518</v>
      </c>
      <c r="R78" s="61" t="n">
        <v>128.093129186317</v>
      </c>
      <c r="S78" s="61" t="n">
        <v>38.21999999999996</v>
      </c>
      <c r="T78" s="61" t="n">
        <v>142.2200000000003</v>
      </c>
      <c r="U78" s="61" t="n">
        <v>12.94</v>
      </c>
      <c r="V78" s="61" t="n">
        <v>27.04638826528528</v>
      </c>
      <c r="W78" s="61" t="n">
        <v>111.3</v>
      </c>
      <c r="X78" s="61" t="n">
        <v>61.83999999999993</v>
      </c>
      <c r="Y78" s="61" t="n">
        <v>196.44</v>
      </c>
      <c r="Z78" s="61" t="n">
        <v>25.85848094219611</v>
      </c>
      <c r="AA78" s="61" t="n">
        <v>615.1199999999997</v>
      </c>
      <c r="AB78" s="61" t="n">
        <v>108.79</v>
      </c>
      <c r="AC78" s="61" t="n">
        <v>40.63169381226481</v>
      </c>
      <c r="AD78" s="61" t="n">
        <v>113.5999999999999</v>
      </c>
      <c r="AE78" s="61" t="n">
        <v>43.48000000000003</v>
      </c>
      <c r="AF78" s="61" t="n">
        <v>67.02</v>
      </c>
      <c r="AG78" s="61" t="n">
        <v>32.90999999999996</v>
      </c>
      <c r="AH78" s="61" t="n">
        <v>19.63</v>
      </c>
      <c r="AI78" s="61" t="n">
        <v>181.8399999999998</v>
      </c>
      <c r="AJ78" s="61" t="n">
        <v>121.1599999999999</v>
      </c>
      <c r="AK78" s="61" t="n">
        <v>84.96000000000005</v>
      </c>
      <c r="AL78" s="61" t="n">
        <v>75.29999999999997</v>
      </c>
      <c r="AM78" s="61" t="n">
        <v>65.86000000000008</v>
      </c>
      <c r="AN78" s="61" t="n">
        <v>47.6</v>
      </c>
    </row>
    <row r="79" ht="19" customHeight="1">
      <c r="A79" s="24" t="inlineStr">
        <is>
          <t>2021-02-01</t>
        </is>
      </c>
      <c r="B79" s="61" t="n">
        <v>223.8326261587002</v>
      </c>
      <c r="C79" s="61" t="n">
        <v>136.1390790145018</v>
      </c>
      <c r="D79" s="61" t="n">
        <v>128.3685374876538</v>
      </c>
      <c r="E79" s="61" t="n">
        <v>222.0565421683143</v>
      </c>
      <c r="F79" s="61" t="n">
        <v>63.60678109958891</v>
      </c>
      <c r="G79" s="61" t="n">
        <v>107.2611555031735</v>
      </c>
      <c r="H79" s="61" t="n">
        <v>302.1351095416622</v>
      </c>
      <c r="I79" s="61" t="n">
        <v>59.64038253319035</v>
      </c>
      <c r="J79" s="61" t="n">
        <v>184.8753578516975</v>
      </c>
      <c r="K79" s="61" t="n">
        <v>44.29091232959134</v>
      </c>
      <c r="L79" s="61" t="n">
        <v>108.7699999999999</v>
      </c>
      <c r="M79" s="61" t="n">
        <v>18.39000000000001</v>
      </c>
      <c r="N79" s="61" t="n">
        <v>122.56</v>
      </c>
      <c r="O79" s="61" t="n">
        <v>303.7019464069219</v>
      </c>
      <c r="P79" s="61" t="n">
        <v>40.85999999999996</v>
      </c>
      <c r="Q79" s="61" t="n">
        <v>352.3059449840422</v>
      </c>
      <c r="R79" s="61" t="n">
        <v>117.8828258588757</v>
      </c>
      <c r="S79" s="61" t="n">
        <v>38.46999999999996</v>
      </c>
      <c r="T79" s="61" t="n">
        <v>147.8700000000003</v>
      </c>
      <c r="U79" s="61" t="n">
        <v>13.66000000000001</v>
      </c>
      <c r="V79" s="61" t="n">
        <v>25.23076422103668</v>
      </c>
      <c r="W79" s="61" t="n">
        <v>107.87</v>
      </c>
      <c r="X79" s="61" t="n">
        <v>58.26999999999993</v>
      </c>
      <c r="Y79" s="61" t="n">
        <v>194.34</v>
      </c>
      <c r="Z79" s="61" t="n">
        <v>30.27143758282941</v>
      </c>
      <c r="AA79" s="61" t="n">
        <v>609.1899999999997</v>
      </c>
      <c r="AB79" s="61" t="n">
        <v>126.57</v>
      </c>
      <c r="AC79" s="61" t="n">
        <v>41.34051371081976</v>
      </c>
      <c r="AD79" s="61" t="n">
        <v>107.4599999999999</v>
      </c>
      <c r="AE79" s="61" t="n">
        <v>40.21000000000003</v>
      </c>
      <c r="AF79" s="61" t="n">
        <v>79.77</v>
      </c>
      <c r="AG79" s="61" t="n">
        <v>43.14999999999996</v>
      </c>
      <c r="AH79" s="61" t="n">
        <v>24.78000000000001</v>
      </c>
      <c r="AI79" s="61" t="n">
        <v>181.4699999999998</v>
      </c>
      <c r="AJ79" s="61" t="n">
        <v>122.4899999999999</v>
      </c>
      <c r="AK79" s="61" t="n">
        <v>95.21000000000006</v>
      </c>
      <c r="AL79" s="61" t="n">
        <v>69.27999999999997</v>
      </c>
      <c r="AM79" s="61" t="n">
        <v>61.49000000000008</v>
      </c>
      <c r="AN79" s="61" t="n">
        <v>46.31</v>
      </c>
    </row>
    <row r="80" ht="19" customHeight="1">
      <c r="A80" s="24" t="inlineStr">
        <is>
          <t>2021-03-01</t>
        </is>
      </c>
      <c r="B80" s="61" t="n">
        <v>266.1339832968685</v>
      </c>
      <c r="C80" s="61" t="n">
        <v>141.1994145964796</v>
      </c>
      <c r="D80" s="61" t="n">
        <v>132.7821167385653</v>
      </c>
      <c r="E80" s="61" t="n">
        <v>225.2959403109647</v>
      </c>
      <c r="F80" s="61" t="n">
        <v>65.45055798728218</v>
      </c>
      <c r="G80" s="61" t="n">
        <v>117.5939499738408</v>
      </c>
      <c r="H80" s="61" t="n">
        <v>339.5784662185058</v>
      </c>
      <c r="I80" s="61" t="n">
        <v>62.98522422519245</v>
      </c>
      <c r="J80" s="61" t="n">
        <v>191.6193853581908</v>
      </c>
      <c r="K80" s="61" t="n">
        <v>45.48025300943218</v>
      </c>
      <c r="L80" s="61" t="n">
        <v>116.0199999999999</v>
      </c>
      <c r="M80" s="61" t="n">
        <v>20.03000000000002</v>
      </c>
      <c r="N80" s="61" t="n">
        <v>129.98</v>
      </c>
      <c r="O80" s="61" t="n">
        <v>308.915901422836</v>
      </c>
      <c r="P80" s="61" t="n">
        <v>41.58999999999997</v>
      </c>
      <c r="Q80" s="61" t="n">
        <v>368.3002825803728</v>
      </c>
      <c r="R80" s="61" t="n">
        <v>118.7480858006799</v>
      </c>
      <c r="S80" s="61" t="n">
        <v>44.33999999999995</v>
      </c>
      <c r="T80" s="61" t="n">
        <v>162.2200000000003</v>
      </c>
      <c r="U80" s="61" t="n">
        <v>13.30000000000001</v>
      </c>
      <c r="V80" s="61" t="n">
        <v>27.29501919578079</v>
      </c>
      <c r="W80" s="61" t="n">
        <v>107.92</v>
      </c>
      <c r="X80" s="61" t="n">
        <v>62.39999999999992</v>
      </c>
      <c r="Y80" s="61" t="n">
        <v>177.2</v>
      </c>
      <c r="Z80" s="61" t="n">
        <v>33.91009465172309</v>
      </c>
      <c r="AA80" s="61" t="n">
        <v>665.2699999999995</v>
      </c>
      <c r="AB80" s="61" t="n">
        <v>132.75</v>
      </c>
      <c r="AC80" s="61" t="n">
        <v>44.84986857921754</v>
      </c>
      <c r="AD80" s="61" t="n">
        <v>118.5899999999999</v>
      </c>
      <c r="AE80" s="61" t="n">
        <v>42.21000000000003</v>
      </c>
      <c r="AF80" s="61" t="n">
        <v>83.59</v>
      </c>
      <c r="AG80" s="61" t="n">
        <v>43.94999999999997</v>
      </c>
      <c r="AH80" s="61" t="n">
        <v>24.14000000000001</v>
      </c>
      <c r="AI80" s="61" t="n">
        <v>197.3099999999998</v>
      </c>
      <c r="AJ80" s="61" t="n">
        <v>120.7699999999999</v>
      </c>
      <c r="AK80" s="61" t="n">
        <v>96.30000000000007</v>
      </c>
      <c r="AL80" s="61" t="n">
        <v>78.12999999999997</v>
      </c>
      <c r="AM80" s="61" t="n">
        <v>69.5800000000001</v>
      </c>
      <c r="AN80" s="61" t="n">
        <v>50.75</v>
      </c>
    </row>
    <row r="81" ht="19" customHeight="1">
      <c r="A81" s="24" t="inlineStr">
        <is>
          <t>2021-04-01</t>
        </is>
      </c>
      <c r="B81" s="61" t="n">
        <v>282.1936801691979</v>
      </c>
      <c r="C81" s="61" t="n">
        <v>139.8075744077578</v>
      </c>
      <c r="D81" s="61" t="n">
        <v>134.9504641076317</v>
      </c>
      <c r="E81" s="61" t="n">
        <v>240.9769234632577</v>
      </c>
      <c r="F81" s="61" t="n">
        <v>67.09525419415196</v>
      </c>
      <c r="G81" s="61" t="n">
        <v>116.5898099432864</v>
      </c>
      <c r="H81" s="61" t="n">
        <v>363.9742124588245</v>
      </c>
      <c r="I81" s="61" t="n">
        <v>65.49772056584143</v>
      </c>
      <c r="J81" s="61" t="n">
        <v>201.2704053080445</v>
      </c>
      <c r="K81" s="61" t="n">
        <v>46.6288677144461</v>
      </c>
      <c r="L81" s="61" t="n">
        <v>120.0099999999999</v>
      </c>
      <c r="M81" s="61" t="n">
        <v>20.47000000000001</v>
      </c>
      <c r="N81" s="61" t="n">
        <v>136.05</v>
      </c>
      <c r="O81" s="61" t="n">
        <v>327.1722133651228</v>
      </c>
      <c r="P81" s="61" t="n">
        <v>44.45999999999996</v>
      </c>
      <c r="Q81" s="61" t="n">
        <v>387.7870505317003</v>
      </c>
      <c r="R81" s="61" t="n">
        <v>127.7988274042361</v>
      </c>
      <c r="S81" s="61" t="n">
        <v>43.95999999999995</v>
      </c>
      <c r="T81" s="61" t="n">
        <v>155.8000000000003</v>
      </c>
      <c r="U81" s="61" t="n">
        <v>14.95000000000001</v>
      </c>
      <c r="V81" s="61" t="n">
        <v>29.11821729798217</v>
      </c>
      <c r="W81" s="61" t="n">
        <v>108.53</v>
      </c>
      <c r="X81" s="61" t="n">
        <v>60.29999999999993</v>
      </c>
      <c r="Y81" s="61" t="n">
        <v>173.36</v>
      </c>
      <c r="Z81" s="61" t="n">
        <v>35.52275702307508</v>
      </c>
      <c r="AA81" s="61" t="n">
        <v>722.9199999999994</v>
      </c>
      <c r="AB81" s="61" t="n">
        <v>143.93</v>
      </c>
      <c r="AC81" s="61" t="n">
        <v>45.93048131276521</v>
      </c>
      <c r="AD81" s="61" t="n">
        <v>120.8699999999999</v>
      </c>
      <c r="AE81" s="61" t="n">
        <v>43.48000000000003</v>
      </c>
      <c r="AF81" s="61" t="n">
        <v>82.22</v>
      </c>
      <c r="AG81" s="61" t="n">
        <v>42.42999999999996</v>
      </c>
      <c r="AH81" s="61" t="n">
        <v>24.02000000000001</v>
      </c>
      <c r="AI81" s="61" t="n">
        <v>207.8199999999998</v>
      </c>
      <c r="AJ81" s="61" t="n">
        <v>120.5299999999999</v>
      </c>
      <c r="AK81" s="61" t="n">
        <v>100.9000000000001</v>
      </c>
      <c r="AL81" s="61" t="n">
        <v>81.49999999999997</v>
      </c>
      <c r="AM81" s="61" t="n">
        <v>72.88000000000009</v>
      </c>
      <c r="AN81" s="61" t="n">
        <v>54.02</v>
      </c>
    </row>
    <row r="82" ht="19" customHeight="1">
      <c r="A82" s="24" t="inlineStr">
        <is>
          <t>2021-05-01</t>
        </is>
      </c>
      <c r="B82" s="61" t="n">
        <v>278.043516411235</v>
      </c>
      <c r="C82" s="61" t="n">
        <v>146.316403414045</v>
      </c>
      <c r="D82" s="61" t="n">
        <v>144.1015390179589</v>
      </c>
      <c r="E82" s="61" t="n">
        <v>239.1389577673264</v>
      </c>
      <c r="F82" s="61" t="n">
        <v>63.38169780106927</v>
      </c>
      <c r="G82" s="61" t="n">
        <v>117.8394735073405</v>
      </c>
      <c r="H82" s="61" t="n">
        <v>375.9485316473554</v>
      </c>
      <c r="I82" s="61" t="n">
        <v>66.07123701197541</v>
      </c>
      <c r="J82" s="61" t="n">
        <v>202.1882255277539</v>
      </c>
      <c r="K82" s="61" t="n">
        <v>48.24208436594827</v>
      </c>
      <c r="L82" s="61" t="n">
        <v>123.51</v>
      </c>
      <c r="M82" s="61" t="n">
        <v>21.13000000000001</v>
      </c>
      <c r="N82" s="61" t="n">
        <v>138.65</v>
      </c>
      <c r="O82" s="61" t="n">
        <v>323.2428750826077</v>
      </c>
      <c r="P82" s="61" t="n">
        <v>43.82999999999996</v>
      </c>
      <c r="Q82" s="61" t="n">
        <v>390.3332603054915</v>
      </c>
      <c r="R82" s="61" t="n">
        <v>121.3449866203221</v>
      </c>
      <c r="S82" s="61" t="n">
        <v>45.67999999999995</v>
      </c>
      <c r="T82" s="61" t="n">
        <v>163.8400000000003</v>
      </c>
      <c r="U82" s="61" t="n">
        <v>16.18000000000001</v>
      </c>
      <c r="V82" s="61" t="n">
        <v>29.46600528538927</v>
      </c>
      <c r="W82" s="61" t="n">
        <v>105.43</v>
      </c>
      <c r="X82" s="61" t="n">
        <v>61.42999999999994</v>
      </c>
      <c r="Y82" s="61" t="n">
        <v>190.29</v>
      </c>
      <c r="Z82" s="61" t="n">
        <v>37.15296738837804</v>
      </c>
      <c r="AA82" s="61" t="n">
        <v>773.8699999999993</v>
      </c>
      <c r="AB82" s="61" t="n">
        <v>150.3</v>
      </c>
      <c r="AC82" s="61" t="n">
        <v>47.04516816374471</v>
      </c>
      <c r="AD82" s="61" t="n">
        <v>124.0399999999999</v>
      </c>
      <c r="AE82" s="61" t="n">
        <v>44.31000000000004</v>
      </c>
      <c r="AF82" s="61" t="n">
        <v>83.81</v>
      </c>
      <c r="AG82" s="61" t="n">
        <v>46.60999999999996</v>
      </c>
      <c r="AH82" s="61" t="n">
        <v>27.82000000000001</v>
      </c>
      <c r="AI82" s="61" t="n">
        <v>207.0299999999998</v>
      </c>
      <c r="AJ82" s="61" t="n">
        <v>124.2699999999999</v>
      </c>
      <c r="AK82" s="61" t="n">
        <v>100.7600000000001</v>
      </c>
      <c r="AL82" s="61" t="n">
        <v>81.89999999999996</v>
      </c>
      <c r="AM82" s="61" t="n">
        <v>71.2500000000001</v>
      </c>
      <c r="AN82" s="61" t="n">
        <v>52.72</v>
      </c>
    </row>
    <row r="83" ht="19" customHeight="1">
      <c r="A83" s="24" t="inlineStr">
        <is>
          <t>2021-06-01</t>
        </is>
      </c>
      <c r="B83" s="61" t="n">
        <v>279.4839761786632</v>
      </c>
      <c r="C83" s="61" t="n">
        <v>142.4175265997081</v>
      </c>
      <c r="D83" s="61" t="n">
        <v>136.4682950374969</v>
      </c>
      <c r="E83" s="61" t="n">
        <v>259.4629989918624</v>
      </c>
      <c r="F83" s="61" t="n">
        <v>63.76894229114012</v>
      </c>
      <c r="G83" s="61" t="n">
        <v>117.909343005812</v>
      </c>
      <c r="H83" s="61" t="n">
        <v>366.8095574372013</v>
      </c>
      <c r="I83" s="61" t="n">
        <v>67.20517536722025</v>
      </c>
      <c r="J83" s="61" t="n">
        <v>207.2064592406977</v>
      </c>
      <c r="K83" s="61" t="n">
        <v>52.13484650515812</v>
      </c>
      <c r="L83" s="61" t="n">
        <v>121.98</v>
      </c>
      <c r="M83" s="61" t="n">
        <v>20.92000000000002</v>
      </c>
      <c r="N83" s="61" t="n">
        <v>138.69</v>
      </c>
      <c r="O83" s="61" t="n">
        <v>343.4846671631557</v>
      </c>
      <c r="P83" s="61" t="n">
        <v>46.46999999999995</v>
      </c>
      <c r="Q83" s="61" t="n">
        <v>399.0872643343627</v>
      </c>
      <c r="R83" s="61" t="n">
        <v>133.3713668992756</v>
      </c>
      <c r="S83" s="61" t="n">
        <v>45.76999999999995</v>
      </c>
      <c r="T83" s="61" t="n">
        <v>165.9800000000003</v>
      </c>
      <c r="U83" s="61" t="n">
        <v>19.93000000000001</v>
      </c>
      <c r="V83" s="61" t="n">
        <v>29.79313687606766</v>
      </c>
      <c r="W83" s="61" t="n">
        <v>104.78</v>
      </c>
      <c r="X83" s="61" t="n">
        <v>66.53999999999994</v>
      </c>
      <c r="Y83" s="61" t="n">
        <v>218.66</v>
      </c>
      <c r="Z83" s="61" t="n">
        <v>36.28841783725048</v>
      </c>
      <c r="AA83" s="61" t="n">
        <v>775.6499999999993</v>
      </c>
      <c r="AB83" s="61" t="n">
        <v>155.08</v>
      </c>
      <c r="AC83" s="61" t="n">
        <v>46.3879471644972</v>
      </c>
      <c r="AD83" s="61" t="n">
        <v>125.1399999999999</v>
      </c>
      <c r="AE83" s="61" t="n">
        <v>44.00000000000004</v>
      </c>
      <c r="AF83" s="61" t="n">
        <v>84.58</v>
      </c>
      <c r="AG83" s="61" t="n">
        <v>50.91999999999997</v>
      </c>
      <c r="AH83" s="61" t="n">
        <v>28.53000000000001</v>
      </c>
      <c r="AI83" s="61" t="n">
        <v>204.4699999999998</v>
      </c>
      <c r="AJ83" s="61" t="n">
        <v>140.6799999999999</v>
      </c>
      <c r="AK83" s="61" t="n">
        <v>98.93000000000008</v>
      </c>
      <c r="AL83" s="61" t="n">
        <v>80.66999999999996</v>
      </c>
      <c r="AM83" s="61" t="n">
        <v>70.0800000000001</v>
      </c>
      <c r="AN83" s="61" t="n">
        <v>49.9</v>
      </c>
    </row>
    <row r="84" ht="19" customHeight="1">
      <c r="A84" s="24" t="inlineStr">
        <is>
          <t>2021-07-01</t>
        </is>
      </c>
      <c r="B84" s="61" t="n">
        <v>287.6348138808286</v>
      </c>
      <c r="C84" s="61" t="n">
        <v>148.8666507885785</v>
      </c>
      <c r="D84" s="61" t="n">
        <v>133.9367109991252</v>
      </c>
      <c r="E84" s="61" t="n">
        <v>272.881536120024</v>
      </c>
      <c r="F84" s="61" t="n">
        <v>67.78931296877782</v>
      </c>
      <c r="G84" s="61" t="n">
        <v>125.0701670047785</v>
      </c>
      <c r="H84" s="61" t="n">
        <v>377.6002593916414</v>
      </c>
      <c r="I84" s="61" t="n">
        <v>69.58808291286638</v>
      </c>
      <c r="J84" s="61" t="n">
        <v>210.8052920966057</v>
      </c>
      <c r="K84" s="61" t="n">
        <v>47.5808924791195</v>
      </c>
      <c r="L84" s="61" t="n">
        <v>123.2099999999999</v>
      </c>
      <c r="M84" s="61" t="n">
        <v>21.06000000000002</v>
      </c>
      <c r="N84" s="61" t="n">
        <v>140.49</v>
      </c>
      <c r="O84" s="61" t="n">
        <v>353.3117634906936</v>
      </c>
      <c r="P84" s="61" t="n">
        <v>47.94999999999995</v>
      </c>
      <c r="Q84" s="61" t="n">
        <v>408.8301817185575</v>
      </c>
      <c r="R84" s="61" t="n">
        <v>142.0381050631244</v>
      </c>
      <c r="S84" s="61" t="n">
        <v>48.14999999999995</v>
      </c>
      <c r="T84" s="61" t="n">
        <v>165.4400000000003</v>
      </c>
      <c r="U84" s="61" t="n">
        <v>19.43000000000001</v>
      </c>
      <c r="V84" s="61" t="n">
        <v>32.86507742622211</v>
      </c>
      <c r="W84" s="61" t="n">
        <v>109.76</v>
      </c>
      <c r="X84" s="61" t="n">
        <v>65.76999999999992</v>
      </c>
      <c r="Y84" s="61" t="n">
        <v>231.98</v>
      </c>
      <c r="Z84" s="61" t="n">
        <v>33.76238107159948</v>
      </c>
      <c r="AA84" s="61" t="n">
        <v>768.7399999999993</v>
      </c>
      <c r="AB84" s="61" t="n">
        <v>160.47</v>
      </c>
      <c r="AC84" s="61" t="n">
        <v>48.89122634528212</v>
      </c>
      <c r="AD84" s="61" t="n">
        <v>132.5499999999999</v>
      </c>
      <c r="AE84" s="61" t="n">
        <v>44.47000000000004</v>
      </c>
      <c r="AF84" s="61" t="n">
        <v>82.20999999999999</v>
      </c>
      <c r="AG84" s="61" t="n">
        <v>47.22999999999996</v>
      </c>
      <c r="AH84" s="61" t="n">
        <v>25.70000000000001</v>
      </c>
      <c r="AI84" s="61" t="n">
        <v>214.8399999999998</v>
      </c>
      <c r="AJ84" s="61" t="n">
        <v>152.5399999999999</v>
      </c>
      <c r="AK84" s="61" t="n">
        <v>107.4400000000001</v>
      </c>
      <c r="AL84" s="61" t="n">
        <v>85.89999999999996</v>
      </c>
      <c r="AM84" s="61" t="n">
        <v>73.00000000000011</v>
      </c>
      <c r="AN84" s="61" t="n">
        <v>52.68</v>
      </c>
    </row>
    <row r="85" ht="19" customHeight="1">
      <c r="A85" s="24" t="inlineStr">
        <is>
          <t>2021-08-01</t>
        </is>
      </c>
      <c r="B85" s="61" t="n">
        <v>285.8731599470378</v>
      </c>
      <c r="C85" s="61" t="n">
        <v>150.5600513682941</v>
      </c>
      <c r="D85" s="61" t="n">
        <v>141.1462198480007</v>
      </c>
      <c r="E85" s="61" t="n">
        <v>289.6885626179587</v>
      </c>
      <c r="F85" s="61" t="n">
        <v>73.42329639526486</v>
      </c>
      <c r="G85" s="61" t="n">
        <v>125.2109205955152</v>
      </c>
      <c r="H85" s="61" t="n">
        <v>381.3100754568911</v>
      </c>
      <c r="I85" s="61" t="n">
        <v>70.89365388503717</v>
      </c>
      <c r="J85" s="61" t="n">
        <v>216.8312039538562</v>
      </c>
      <c r="K85" s="61" t="n">
        <v>45.74213645462583</v>
      </c>
      <c r="L85" s="61" t="n">
        <v>125.7799999999999</v>
      </c>
      <c r="M85" s="61" t="n">
        <v>21.50000000000002</v>
      </c>
      <c r="N85" s="61" t="n">
        <v>143.82</v>
      </c>
      <c r="O85" s="61" t="n">
        <v>368.2169268570755</v>
      </c>
      <c r="P85" s="61" t="n">
        <v>49.70999999999994</v>
      </c>
      <c r="Q85" s="61" t="n">
        <v>420.9969679265018</v>
      </c>
      <c r="R85" s="61" t="n">
        <v>148.0733041472565</v>
      </c>
      <c r="S85" s="61" t="n">
        <v>51.31999999999995</v>
      </c>
      <c r="T85" s="61" t="n">
        <v>165.7000000000003</v>
      </c>
      <c r="U85" s="61" t="n">
        <v>22.31000000000001</v>
      </c>
      <c r="V85" s="61" t="n">
        <v>35.36778593730636</v>
      </c>
      <c r="W85" s="61" t="n">
        <v>114.6499999999999</v>
      </c>
      <c r="X85" s="61" t="n">
        <v>65.26999999999992</v>
      </c>
      <c r="Y85" s="61" t="n">
        <v>246.87</v>
      </c>
      <c r="Z85" s="61" t="n">
        <v>36.74606397403994</v>
      </c>
      <c r="AA85" s="61" t="n">
        <v>836.2199999999992</v>
      </c>
      <c r="AB85" s="61" t="n">
        <v>156.17</v>
      </c>
      <c r="AC85" s="61" t="n">
        <v>48.27373015654121</v>
      </c>
      <c r="AD85" s="61" t="n">
        <v>132.0799999999999</v>
      </c>
      <c r="AE85" s="61" t="n">
        <v>46.37000000000004</v>
      </c>
      <c r="AF85" s="61" t="n">
        <v>79.19</v>
      </c>
      <c r="AG85" s="61" t="n">
        <v>46.78999999999996</v>
      </c>
      <c r="AH85" s="61" t="n">
        <v>25.10000000000001</v>
      </c>
      <c r="AI85" s="61" t="n">
        <v>211.3499999999998</v>
      </c>
      <c r="AJ85" s="61" t="n">
        <v>150.27</v>
      </c>
      <c r="AK85" s="61" t="n">
        <v>104.3600000000001</v>
      </c>
      <c r="AL85" s="61" t="n">
        <v>86.31999999999995</v>
      </c>
      <c r="AM85" s="61" t="n">
        <v>74.83000000000011</v>
      </c>
      <c r="AN85" s="61" t="n">
        <v>54.75999999999999</v>
      </c>
    </row>
    <row r="86" ht="19" customHeight="1">
      <c r="A86" s="24" t="inlineStr">
        <is>
          <t>2021-09-01</t>
        </is>
      </c>
      <c r="B86" s="61" t="n">
        <v>289.1588219562752</v>
      </c>
      <c r="C86" s="61" t="n">
        <v>140.4461547741004</v>
      </c>
      <c r="D86" s="61" t="n">
        <v>144.4466029503498</v>
      </c>
      <c r="E86" s="61" t="n">
        <v>270.5347033530001</v>
      </c>
      <c r="F86" s="61" t="n">
        <v>68.64146287767768</v>
      </c>
      <c r="G86" s="61" t="n">
        <v>122.9333771476504</v>
      </c>
      <c r="H86" s="61" t="n">
        <v>359.1804805985581</v>
      </c>
      <c r="I86" s="61" t="n">
        <v>67.35816319105439</v>
      </c>
      <c r="J86" s="61" t="n">
        <v>207.1515435199543</v>
      </c>
      <c r="K86" s="61" t="n">
        <v>49.34981285606656</v>
      </c>
      <c r="L86" s="61" t="n">
        <v>120.82</v>
      </c>
      <c r="M86" s="61" t="n">
        <v>20.70000000000002</v>
      </c>
      <c r="N86" s="61" t="n">
        <v>138.36</v>
      </c>
      <c r="O86" s="61" t="n">
        <v>347.2911589037878</v>
      </c>
      <c r="P86" s="61" t="n">
        <v>47.05999999999995</v>
      </c>
      <c r="Q86" s="61" t="n">
        <v>401.3742992514475</v>
      </c>
      <c r="R86" s="61" t="n">
        <v>137.9983965330772</v>
      </c>
      <c r="S86" s="61" t="n">
        <v>47.32999999999995</v>
      </c>
      <c r="T86" s="61" t="n">
        <v>166.8200000000003</v>
      </c>
      <c r="U86" s="61" t="n">
        <v>20.65000000000001</v>
      </c>
      <c r="V86" s="61" t="n">
        <v>33.01865759535047</v>
      </c>
      <c r="W86" s="61" t="n">
        <v>107.18</v>
      </c>
      <c r="X86" s="61" t="n">
        <v>64.83999999999993</v>
      </c>
      <c r="Y86" s="61" t="n">
        <v>220.83</v>
      </c>
      <c r="Z86" s="61" t="n">
        <v>37.55363222199741</v>
      </c>
      <c r="AA86" s="61" t="n">
        <v>746.7099999999994</v>
      </c>
      <c r="AB86" s="61" t="n">
        <v>157.65</v>
      </c>
      <c r="AC86" s="61" t="n">
        <v>45.32130882016715</v>
      </c>
      <c r="AD86" s="61" t="n">
        <v>127.8999999999999</v>
      </c>
      <c r="AE86" s="61" t="n">
        <v>43.64000000000004</v>
      </c>
      <c r="AF86" s="61" t="n">
        <v>83.02</v>
      </c>
      <c r="AG86" s="61" t="n">
        <v>57.09999999999996</v>
      </c>
      <c r="AH86" s="61" t="n">
        <v>26.53000000000001</v>
      </c>
      <c r="AI86" s="61" t="n">
        <v>214.5899999999998</v>
      </c>
      <c r="AJ86" s="61" t="n">
        <v>132.4699999999999</v>
      </c>
      <c r="AK86" s="61" t="n">
        <v>97.98000000000008</v>
      </c>
      <c r="AL86" s="61" t="n">
        <v>80.48999999999995</v>
      </c>
      <c r="AM86" s="61" t="n">
        <v>67.82000000000009</v>
      </c>
      <c r="AN86" s="61" t="n">
        <v>51.63</v>
      </c>
    </row>
    <row r="87" ht="19" customHeight="1">
      <c r="A87" s="24" t="inlineStr">
        <is>
          <t>2021-10-01</t>
        </is>
      </c>
      <c r="B87" s="61" t="n">
        <v>327.4596272627392</v>
      </c>
      <c r="C87" s="61" t="n">
        <v>141.6462622510296</v>
      </c>
      <c r="D87" s="61" t="n">
        <v>150.8211247066077</v>
      </c>
      <c r="E87" s="61" t="n">
        <v>318.227616820076</v>
      </c>
      <c r="F87" s="61" t="n">
        <v>74.59471835122223</v>
      </c>
      <c r="G87" s="61" t="n">
        <v>126.5180343956473</v>
      </c>
      <c r="H87" s="61" t="n">
        <v>423.2785802956457</v>
      </c>
      <c r="I87" s="61" t="n">
        <v>71.06972973544868</v>
      </c>
      <c r="J87" s="61" t="n">
        <v>221.0045840336697</v>
      </c>
      <c r="K87" s="61" t="n">
        <v>54.09014002293889</v>
      </c>
      <c r="L87" s="61" t="n">
        <v>127.4</v>
      </c>
      <c r="M87" s="61" t="n">
        <v>21.62000000000002</v>
      </c>
      <c r="N87" s="61" t="n">
        <v>145.69</v>
      </c>
      <c r="O87" s="61" t="n">
        <v>374.6021356399817</v>
      </c>
      <c r="P87" s="61" t="n">
        <v>50.94999999999994</v>
      </c>
      <c r="Q87" s="61" t="n">
        <v>429.5359242098268</v>
      </c>
      <c r="R87" s="61" t="n">
        <v>146.0929684785179</v>
      </c>
      <c r="S87" s="61" t="n">
        <v>48.99999999999994</v>
      </c>
      <c r="T87" s="61" t="n">
        <v>163.7200000000003</v>
      </c>
      <c r="U87" s="61" t="n">
        <v>25.48000000000002</v>
      </c>
      <c r="V87" s="61" t="n">
        <v>33.57908327071635</v>
      </c>
      <c r="W87" s="61" t="n">
        <v>117.39</v>
      </c>
      <c r="X87" s="61" t="n">
        <v>76.00999999999993</v>
      </c>
      <c r="Y87" s="61" t="n">
        <v>243.49</v>
      </c>
      <c r="Z87" s="61" t="n">
        <v>42.26882873015919</v>
      </c>
      <c r="AA87" s="61" t="n">
        <v>840.0199999999993</v>
      </c>
      <c r="AB87" s="61" t="n">
        <v>163.94</v>
      </c>
      <c r="AC87" s="61" t="n">
        <v>48.68995106215253</v>
      </c>
      <c r="AD87" s="61" t="n">
        <v>137.4099999999999</v>
      </c>
      <c r="AE87" s="61" t="n">
        <v>46.79000000000005</v>
      </c>
      <c r="AF87" s="61" t="n">
        <v>93.69</v>
      </c>
      <c r="AG87" s="61" t="n">
        <v>63.13999999999996</v>
      </c>
      <c r="AH87" s="61" t="n">
        <v>28.88000000000001</v>
      </c>
      <c r="AI87" s="61" t="n">
        <v>218.5499999999998</v>
      </c>
      <c r="AJ87" s="61" t="n">
        <v>152.5899999999999</v>
      </c>
      <c r="AK87" s="61" t="n">
        <v>94.22000000000007</v>
      </c>
      <c r="AL87" s="61" t="n">
        <v>84.13999999999996</v>
      </c>
      <c r="AM87" s="61" t="n">
        <v>70.7700000000001</v>
      </c>
      <c r="AN87" s="61" t="n">
        <v>51.91999999999999</v>
      </c>
    </row>
    <row r="88" ht="19" customHeight="1">
      <c r="A88" s="24" t="inlineStr">
        <is>
          <t>2021-11-01</t>
        </is>
      </c>
      <c r="B88" s="61" t="n">
        <v>352.8907961802988</v>
      </c>
      <c r="C88" s="61" t="n">
        <v>136.4904874586063</v>
      </c>
      <c r="D88" s="61" t="n">
        <v>141.002526208139</v>
      </c>
      <c r="E88" s="61" t="n">
        <v>317.8195529105724</v>
      </c>
      <c r="F88" s="61" t="n">
        <v>76.19828779973783</v>
      </c>
      <c r="G88" s="61" t="n">
        <v>127.9247993006435</v>
      </c>
      <c r="H88" s="61" t="n">
        <v>408.341087662584</v>
      </c>
      <c r="I88" s="61" t="n">
        <v>69.61259651895682</v>
      </c>
      <c r="J88" s="61" t="n">
        <v>217.7768861203936</v>
      </c>
      <c r="K88" s="61" t="n">
        <v>50.88032282551737</v>
      </c>
      <c r="L88" s="61" t="n">
        <v>123.53</v>
      </c>
      <c r="M88" s="61" t="n">
        <v>21.17000000000002</v>
      </c>
      <c r="N88" s="61" t="n">
        <v>141.84</v>
      </c>
      <c r="O88" s="61" t="n">
        <v>382.0825656865765</v>
      </c>
      <c r="P88" s="61" t="n">
        <v>51.30999999999994</v>
      </c>
      <c r="Q88" s="61" t="n">
        <v>426.0867507384219</v>
      </c>
      <c r="R88" s="61" t="n">
        <v>161.4447097921775</v>
      </c>
      <c r="S88" s="61" t="n">
        <v>48.00999999999994</v>
      </c>
      <c r="T88" s="61" t="n">
        <v>167.9900000000004</v>
      </c>
      <c r="U88" s="61" t="n">
        <v>32.57000000000002</v>
      </c>
      <c r="V88" s="61" t="n">
        <v>41.61042767015647</v>
      </c>
      <c r="W88" s="61" t="n">
        <v>114.55</v>
      </c>
      <c r="X88" s="61" t="n">
        <v>64.66999999999994</v>
      </c>
      <c r="Y88" s="61" t="n">
        <v>237.83</v>
      </c>
      <c r="Z88" s="61" t="n">
        <v>39.34044427573376</v>
      </c>
      <c r="AA88" s="61" t="n">
        <v>805.4299999999993</v>
      </c>
      <c r="AB88" s="61" t="n">
        <v>143.68</v>
      </c>
      <c r="AC88" s="61" t="n">
        <v>45.65559331195918</v>
      </c>
      <c r="AD88" s="61" t="n">
        <v>135.8599999999999</v>
      </c>
      <c r="AE88" s="61" t="n">
        <v>44.04000000000005</v>
      </c>
      <c r="AF88" s="61" t="n">
        <v>93.44</v>
      </c>
      <c r="AG88" s="61" t="n">
        <v>59.43999999999996</v>
      </c>
      <c r="AH88" s="61" t="n">
        <v>25.78000000000001</v>
      </c>
      <c r="AI88" s="61" t="n">
        <v>218.9099999999998</v>
      </c>
      <c r="AJ88" s="61" t="n">
        <v>154.3699999999999</v>
      </c>
      <c r="AK88" s="61" t="n">
        <v>97.81000000000009</v>
      </c>
      <c r="AL88" s="61" t="n">
        <v>80.78999999999996</v>
      </c>
      <c r="AM88" s="61" t="n">
        <v>68.3400000000001</v>
      </c>
      <c r="AN88" s="61" t="n">
        <v>51.42999999999999</v>
      </c>
    </row>
    <row r="89" ht="19" customHeight="1">
      <c r="A89" s="24" t="inlineStr">
        <is>
          <t>2021-12-01</t>
        </is>
      </c>
      <c r="B89" s="61" t="n">
        <v>367.0874704575259</v>
      </c>
      <c r="C89" s="61" t="n">
        <v>149.743028062628</v>
      </c>
      <c r="D89" s="61" t="n">
        <v>140.5763834383444</v>
      </c>
      <c r="E89" s="61" t="n">
        <v>323.3283087331261</v>
      </c>
      <c r="F89" s="61" t="n">
        <v>81.97595927038434</v>
      </c>
      <c r="G89" s="61" t="n">
        <v>144.7361243013003</v>
      </c>
      <c r="H89" s="61" t="n">
        <v>463.0884965484279</v>
      </c>
      <c r="I89" s="61" t="n">
        <v>74.37609140794218</v>
      </c>
      <c r="J89" s="61" t="n">
        <v>226.0372522639097</v>
      </c>
      <c r="K89" s="61" t="n">
        <v>52.02817481848972</v>
      </c>
      <c r="L89" s="61" t="n">
        <v>132.12</v>
      </c>
      <c r="M89" s="61" t="n">
        <v>22.72000000000002</v>
      </c>
      <c r="N89" s="61" t="n">
        <v>150.74</v>
      </c>
      <c r="O89" s="61" t="n">
        <v>386.4853030909829</v>
      </c>
      <c r="P89" s="61" t="n">
        <v>52.11999999999994</v>
      </c>
      <c r="Q89" s="61" t="n">
        <v>445.7924107865725</v>
      </c>
      <c r="R89" s="61" t="n">
        <v>173.4285891553411</v>
      </c>
      <c r="S89" s="61" t="n">
        <v>55.46999999999993</v>
      </c>
      <c r="T89" s="61" t="n">
        <v>164.5900000000003</v>
      </c>
      <c r="U89" s="61" t="n">
        <v>29.32000000000002</v>
      </c>
      <c r="V89" s="61" t="n">
        <v>45.73044255548934</v>
      </c>
      <c r="W89" s="61" t="n">
        <v>128.18</v>
      </c>
      <c r="X89" s="61" t="n">
        <v>66.78999999999995</v>
      </c>
      <c r="Y89" s="61" t="n">
        <v>264.85</v>
      </c>
      <c r="Z89" s="61" t="n">
        <v>39.5475717148455</v>
      </c>
      <c r="AA89" s="61" t="n">
        <v>818.9399999999993</v>
      </c>
      <c r="AB89" s="61" t="n">
        <v>154.34</v>
      </c>
      <c r="AC89" s="61" t="n">
        <v>51.53991445597104</v>
      </c>
      <c r="AD89" s="61" t="n">
        <v>148.7099999999999</v>
      </c>
      <c r="AE89" s="61" t="n">
        <v>45.49000000000005</v>
      </c>
      <c r="AF89" s="61" t="n">
        <v>97.14</v>
      </c>
      <c r="AG89" s="61" t="n">
        <v>61.34999999999996</v>
      </c>
      <c r="AH89" s="61" t="n">
        <v>26.92000000000001</v>
      </c>
      <c r="AI89" s="61" t="n">
        <v>239.9099999999998</v>
      </c>
      <c r="AJ89" s="61" t="n">
        <v>152.2999999999999</v>
      </c>
      <c r="AK89" s="61" t="n">
        <v>104.3500000000001</v>
      </c>
      <c r="AL89" s="61" t="n">
        <v>87.35999999999994</v>
      </c>
      <c r="AM89" s="61" t="n">
        <v>75.02000000000011</v>
      </c>
      <c r="AN89" s="61" t="n">
        <v>57.72999999999999</v>
      </c>
    </row>
    <row r="90" ht="19" customHeight="1">
      <c r="A90" s="24" t="inlineStr">
        <is>
          <t>2022-01-01</t>
        </is>
      </c>
      <c r="B90" s="61" t="n">
        <v>324.6036376178782</v>
      </c>
      <c r="C90" s="61" t="n">
        <v>150.8109396343642</v>
      </c>
      <c r="D90" s="61" t="n">
        <v>132.7114813057542</v>
      </c>
      <c r="E90" s="61" t="n">
        <v>298.9670807291747</v>
      </c>
      <c r="F90" s="61" t="n">
        <v>68.59425589777285</v>
      </c>
      <c r="G90" s="61" t="n">
        <v>142.7331840373086</v>
      </c>
      <c r="H90" s="61" t="n">
        <v>435.8180712373211</v>
      </c>
      <c r="I90" s="61" t="n">
        <v>69.92640458994948</v>
      </c>
      <c r="J90" s="61" t="n">
        <v>212.3405208943075</v>
      </c>
      <c r="K90" s="61" t="n">
        <v>64.58670162975044</v>
      </c>
      <c r="L90" s="61" t="n">
        <v>130.7</v>
      </c>
      <c r="M90" s="61" t="n">
        <v>22.10000000000002</v>
      </c>
      <c r="N90" s="61" t="n">
        <v>144.15</v>
      </c>
      <c r="O90" s="61" t="n">
        <v>352.6794336296146</v>
      </c>
      <c r="P90" s="61" t="n">
        <v>47.21999999999995</v>
      </c>
      <c r="Q90" s="61" t="n">
        <v>422.2813190416886</v>
      </c>
      <c r="R90" s="61" t="n">
        <v>170.7040260197107</v>
      </c>
      <c r="S90" s="61" t="n">
        <v>49.01999999999995</v>
      </c>
      <c r="T90" s="61" t="n">
        <v>157.7800000000003</v>
      </c>
      <c r="U90" s="61" t="n">
        <v>24.41000000000001</v>
      </c>
      <c r="V90" s="61" t="n">
        <v>41.11532629278936</v>
      </c>
      <c r="W90" s="61" t="n">
        <v>116.5</v>
      </c>
      <c r="X90" s="61" t="n">
        <v>70.99999999999993</v>
      </c>
      <c r="Y90" s="61" t="n">
        <v>235.29</v>
      </c>
      <c r="Z90" s="61" t="n">
        <v>41.01427250703398</v>
      </c>
      <c r="AA90" s="61" t="n">
        <v>736.0899999999993</v>
      </c>
      <c r="AB90" s="61" t="n">
        <v>170.06</v>
      </c>
      <c r="AC90" s="61" t="n">
        <v>53.10672785543255</v>
      </c>
      <c r="AD90" s="61" t="n">
        <v>148.5499999999999</v>
      </c>
      <c r="AE90" s="61" t="n">
        <v>43.95000000000005</v>
      </c>
      <c r="AF90" s="61" t="n">
        <v>108.72</v>
      </c>
      <c r="AG90" s="61" t="n">
        <v>75.31999999999994</v>
      </c>
      <c r="AH90" s="61" t="n">
        <v>35.12000000000001</v>
      </c>
      <c r="AI90" s="61" t="n">
        <v>232.1999999999998</v>
      </c>
      <c r="AJ90" s="61" t="n">
        <v>135.2999999999999</v>
      </c>
      <c r="AK90" s="61" t="n">
        <v>87.71000000000006</v>
      </c>
      <c r="AL90" s="61" t="n">
        <v>87.49999999999994</v>
      </c>
      <c r="AM90" s="61" t="n">
        <v>76.23000000000013</v>
      </c>
      <c r="AN90" s="61" t="n">
        <v>58.49999999999999</v>
      </c>
    </row>
    <row r="91" ht="19" customHeight="1">
      <c r="A91" s="24" t="inlineStr">
        <is>
          <t>2022-02-01</t>
        </is>
      </c>
      <c r="B91" s="61" t="n">
        <v>279.3600268411115</v>
      </c>
      <c r="C91" s="61" t="n">
        <v>144.9780579497217</v>
      </c>
      <c r="D91" s="61" t="n">
        <v>126.6385934369958</v>
      </c>
      <c r="E91" s="61" t="n">
        <v>287.8420074112049</v>
      </c>
      <c r="F91" s="61" t="n">
        <v>69.10660470973964</v>
      </c>
      <c r="G91" s="61" t="n">
        <v>138.6766808267956</v>
      </c>
      <c r="H91" s="61" t="n">
        <v>438.861448100029</v>
      </c>
      <c r="I91" s="61" t="n">
        <v>67.78428771268874</v>
      </c>
      <c r="J91" s="61" t="n">
        <v>207.0603428033985</v>
      </c>
      <c r="K91" s="61" t="n">
        <v>67.41759056290485</v>
      </c>
      <c r="L91" s="61" t="n">
        <v>129.19</v>
      </c>
      <c r="M91" s="61" t="n">
        <v>21.67000000000002</v>
      </c>
      <c r="N91" s="61" t="n">
        <v>142.86</v>
      </c>
      <c r="O91" s="61" t="n">
        <v>336.893502180353</v>
      </c>
      <c r="P91" s="61" t="n">
        <v>45.04999999999995</v>
      </c>
      <c r="Q91" s="61" t="n">
        <v>409.815574503578</v>
      </c>
      <c r="R91" s="61" t="n">
        <v>161.4740593328249</v>
      </c>
      <c r="S91" s="61" t="n">
        <v>49.10999999999994</v>
      </c>
      <c r="T91" s="61" t="n">
        <v>149.4300000000003</v>
      </c>
      <c r="U91" s="61" t="n">
        <v>24.31000000000001</v>
      </c>
      <c r="V91" s="61" t="n">
        <v>36.62841073445725</v>
      </c>
      <c r="W91" s="61" t="n">
        <v>110.25</v>
      </c>
      <c r="X91" s="61" t="n">
        <v>66.72999999999993</v>
      </c>
      <c r="Y91" s="61" t="n">
        <v>240.66</v>
      </c>
      <c r="Z91" s="61" t="n">
        <v>39.2896223481132</v>
      </c>
      <c r="AA91" s="61" t="n">
        <v>665.3799999999993</v>
      </c>
      <c r="AB91" s="61" t="n">
        <v>183.98</v>
      </c>
      <c r="AC91" s="61" t="n">
        <v>54.17741259572593</v>
      </c>
      <c r="AD91" s="61" t="n">
        <v>140.1699999999999</v>
      </c>
      <c r="AE91" s="61" t="n">
        <v>42.49000000000005</v>
      </c>
      <c r="AF91" s="61" t="n">
        <v>120.46</v>
      </c>
      <c r="AG91" s="61" t="n">
        <v>81.02999999999993</v>
      </c>
      <c r="AH91" s="61" t="n">
        <v>35.39000000000001</v>
      </c>
      <c r="AI91" s="61" t="n">
        <v>220.2799999999998</v>
      </c>
      <c r="AJ91" s="61" t="n">
        <v>124.7799999999999</v>
      </c>
      <c r="AK91" s="61" t="n">
        <v>82.30000000000007</v>
      </c>
      <c r="AL91" s="61" t="n">
        <v>84.45999999999994</v>
      </c>
      <c r="AM91" s="61" t="n">
        <v>77.11000000000013</v>
      </c>
      <c r="AN91" s="61" t="n">
        <v>55.07999999999998</v>
      </c>
    </row>
    <row r="92" ht="19" customHeight="1">
      <c r="A92" s="24" t="inlineStr">
        <is>
          <t>2022-03-01</t>
        </is>
      </c>
      <c r="B92" s="61" t="n">
        <v>266.3631764934848</v>
      </c>
      <c r="C92" s="61" t="n">
        <v>156.1309063602544</v>
      </c>
      <c r="D92" s="61" t="n">
        <v>121.7444993592407</v>
      </c>
      <c r="E92" s="61" t="n">
        <v>297.0131465528426</v>
      </c>
      <c r="F92" s="61" t="n">
        <v>74.79266981564062</v>
      </c>
      <c r="G92" s="61" t="n">
        <v>135.9279322000405</v>
      </c>
      <c r="H92" s="61" t="n">
        <v>471.701172900919</v>
      </c>
      <c r="I92" s="61" t="n">
        <v>71.56738554538272</v>
      </c>
      <c r="J92" s="61" t="n">
        <v>213.8103973379628</v>
      </c>
      <c r="K92" s="61" t="n">
        <v>71.00250712048124</v>
      </c>
      <c r="L92" s="61" t="n">
        <v>133.43</v>
      </c>
      <c r="M92" s="61" t="n">
        <v>22.32000000000002</v>
      </c>
      <c r="N92" s="61" t="n">
        <v>146.68</v>
      </c>
      <c r="O92" s="61" t="n">
        <v>352.6193539686297</v>
      </c>
      <c r="P92" s="61" t="n">
        <v>46.75999999999995</v>
      </c>
      <c r="Q92" s="61" t="n">
        <v>425.2205419491675</v>
      </c>
      <c r="R92" s="61" t="n">
        <v>170.7546194189197</v>
      </c>
      <c r="S92" s="61" t="n">
        <v>49.09999999999994</v>
      </c>
      <c r="T92" s="61" t="n">
        <v>161.2900000000004</v>
      </c>
      <c r="U92" s="61" t="n">
        <v>27.20000000000002</v>
      </c>
      <c r="V92" s="61" t="n">
        <v>40.3973643138007</v>
      </c>
      <c r="W92" s="61" t="n">
        <v>108.18</v>
      </c>
      <c r="X92" s="61" t="n">
        <v>72.13999999999993</v>
      </c>
      <c r="Y92" s="61" t="n">
        <v>275.73</v>
      </c>
      <c r="Z92" s="61" t="n">
        <v>36.8198766873108</v>
      </c>
      <c r="AA92" s="61" t="n">
        <v>688.0799999999992</v>
      </c>
      <c r="AB92" s="61" t="n">
        <v>176.85</v>
      </c>
      <c r="AC92" s="61" t="n">
        <v>54.38160726379922</v>
      </c>
      <c r="AD92" s="61" t="n">
        <v>144.2299999999999</v>
      </c>
      <c r="AE92" s="61" t="n">
        <v>47.00000000000006</v>
      </c>
      <c r="AF92" s="61" t="n">
        <v>136.21</v>
      </c>
      <c r="AG92" s="61" t="n">
        <v>85.67999999999992</v>
      </c>
      <c r="AH92" s="61" t="n">
        <v>37.25000000000001</v>
      </c>
      <c r="AI92" s="61" t="n">
        <v>222.5399999999998</v>
      </c>
      <c r="AJ92" s="61" t="n">
        <v>123.2399999999999</v>
      </c>
      <c r="AK92" s="61" t="n">
        <v>81.56000000000007</v>
      </c>
      <c r="AL92" s="61" t="n">
        <v>93.91999999999993</v>
      </c>
      <c r="AM92" s="61" t="n">
        <v>84.86000000000014</v>
      </c>
      <c r="AN92" s="61" t="n">
        <v>61.66999999999998</v>
      </c>
    </row>
    <row r="93" ht="19" customHeight="1">
      <c r="A93" s="24" t="inlineStr">
        <is>
          <t>2022-04-01</t>
        </is>
      </c>
      <c r="B93" s="61" t="n">
        <v>267.3154373685183</v>
      </c>
      <c r="C93" s="61" t="n">
        <v>158.9763819801612</v>
      </c>
      <c r="D93" s="61" t="n">
        <v>107.3880503973023</v>
      </c>
      <c r="E93" s="61" t="n">
        <v>267.351268115105</v>
      </c>
      <c r="F93" s="61" t="n">
        <v>62.7054215852114</v>
      </c>
      <c r="G93" s="61" t="n">
        <v>143.6234305061925</v>
      </c>
      <c r="H93" s="61" t="n">
        <v>470.3877926835547</v>
      </c>
      <c r="I93" s="61" t="n">
        <v>67.74774872736731</v>
      </c>
      <c r="J93" s="61" t="n">
        <v>194.2860242343926</v>
      </c>
      <c r="K93" s="61" t="n">
        <v>73.28931759946637</v>
      </c>
      <c r="L93" s="61" t="n">
        <v>127.04</v>
      </c>
      <c r="M93" s="61" t="n">
        <v>21.40000000000002</v>
      </c>
      <c r="N93" s="61" t="n">
        <v>137.14</v>
      </c>
      <c r="O93" s="61" t="n">
        <v>304.6772266030548</v>
      </c>
      <c r="P93" s="61" t="n">
        <v>40.73999999999996</v>
      </c>
      <c r="Q93" s="61" t="n">
        <v>387.898934982289</v>
      </c>
      <c r="R93" s="61" t="n">
        <v>154.16922323476</v>
      </c>
      <c r="S93" s="61" t="n">
        <v>43.41999999999995</v>
      </c>
      <c r="T93" s="61" t="n">
        <v>149.6600000000003</v>
      </c>
      <c r="U93" s="61" t="n">
        <v>18.49000000000001</v>
      </c>
      <c r="V93" s="61" t="n">
        <v>38.290641764836</v>
      </c>
      <c r="W93" s="61" t="n">
        <v>104.15</v>
      </c>
      <c r="X93" s="61" t="n">
        <v>77.97999999999993</v>
      </c>
      <c r="Y93" s="61" t="n">
        <v>281.28</v>
      </c>
      <c r="Z93" s="61" t="n">
        <v>31.87128526053623</v>
      </c>
      <c r="AA93" s="61" t="n">
        <v>562.4799999999994</v>
      </c>
      <c r="AB93" s="61" t="n">
        <v>165.7</v>
      </c>
      <c r="AC93" s="61" t="n">
        <v>56.67090978478338</v>
      </c>
      <c r="AD93" s="61" t="n">
        <v>147.9599999999999</v>
      </c>
      <c r="AE93" s="61" t="n">
        <v>48.28000000000007</v>
      </c>
      <c r="AF93" s="61" t="n">
        <v>131.06</v>
      </c>
      <c r="AG93" s="61" t="n">
        <v>81.83999999999992</v>
      </c>
      <c r="AH93" s="61" t="n">
        <v>35.18000000000001</v>
      </c>
      <c r="AI93" s="61" t="n">
        <v>224.2299999999998</v>
      </c>
      <c r="AJ93" s="61" t="n">
        <v>114.2099999999999</v>
      </c>
      <c r="AK93" s="61" t="n">
        <v>66.92000000000006</v>
      </c>
      <c r="AL93" s="61" t="n">
        <v>92.65999999999993</v>
      </c>
      <c r="AM93" s="61" t="n">
        <v>84.30000000000014</v>
      </c>
      <c r="AN93" s="61" t="n">
        <v>62.41999999999999</v>
      </c>
    </row>
    <row r="94" ht="19" customHeight="1">
      <c r="A94" s="24" t="inlineStr">
        <is>
          <t>2022-05-01</t>
        </is>
      </c>
      <c r="B94" s="61" t="n">
        <v>269.4065241392128</v>
      </c>
      <c r="C94" s="61" t="n">
        <v>159.1734093591683</v>
      </c>
      <c r="D94" s="61" t="n">
        <v>118.9671410508713</v>
      </c>
      <c r="E94" s="61" t="n">
        <v>262.5183063058371</v>
      </c>
      <c r="F94" s="61" t="n">
        <v>67.20932721874077</v>
      </c>
      <c r="G94" s="61" t="n">
        <v>132.2892116927174</v>
      </c>
      <c r="H94" s="61" t="n">
        <v>459.5010120161458</v>
      </c>
      <c r="I94" s="61" t="n">
        <v>67.77541650146107</v>
      </c>
      <c r="J94" s="61" t="n">
        <v>193.7976878667676</v>
      </c>
      <c r="K94" s="61" t="n">
        <v>83.37645698879261</v>
      </c>
      <c r="L94" s="61" t="n">
        <v>130.1</v>
      </c>
      <c r="M94" s="61" t="n">
        <v>22.24000000000002</v>
      </c>
      <c r="N94" s="61" t="n">
        <v>138.51</v>
      </c>
      <c r="O94" s="61" t="n">
        <v>299.8419990168643</v>
      </c>
      <c r="P94" s="61" t="n">
        <v>39.63999999999996</v>
      </c>
      <c r="Q94" s="61" t="n">
        <v>388.774422878544</v>
      </c>
      <c r="R94" s="61" t="n">
        <v>145.7670005684656</v>
      </c>
      <c r="S94" s="61" t="n">
        <v>39.93999999999995</v>
      </c>
      <c r="T94" s="61" t="n">
        <v>156.4400000000003</v>
      </c>
      <c r="U94" s="61" t="n">
        <v>18.62000000000001</v>
      </c>
      <c r="V94" s="61" t="n">
        <v>41.72607814397708</v>
      </c>
      <c r="W94" s="61" t="n">
        <v>107.79</v>
      </c>
      <c r="X94" s="61" t="n">
        <v>80.90999999999993</v>
      </c>
      <c r="Y94" s="61" t="n">
        <v>302.81</v>
      </c>
      <c r="Z94" s="61" t="n">
        <v>33.22903388392033</v>
      </c>
      <c r="AA94" s="61" t="n">
        <v>602.4499999999995</v>
      </c>
      <c r="AB94" s="61" t="n">
        <v>160.11</v>
      </c>
      <c r="AC94" s="61" t="n">
        <v>55.5918956624811</v>
      </c>
      <c r="AD94" s="61" t="n">
        <v>144.5499999999999</v>
      </c>
      <c r="AE94" s="61" t="n">
        <v>40.74000000000006</v>
      </c>
      <c r="AF94" s="61" t="n">
        <v>147.31</v>
      </c>
      <c r="AG94" s="61" t="n">
        <v>96.6999999999999</v>
      </c>
      <c r="AH94" s="61" t="n">
        <v>41.60000000000002</v>
      </c>
      <c r="AI94" s="61" t="n">
        <v>226.9699999999998</v>
      </c>
      <c r="AJ94" s="61" t="n">
        <v>108.8499999999999</v>
      </c>
      <c r="AK94" s="61" t="n">
        <v>70.88000000000005</v>
      </c>
      <c r="AL94" s="61" t="n">
        <v>95.49999999999994</v>
      </c>
      <c r="AM94" s="61" t="n">
        <v>87.47000000000014</v>
      </c>
      <c r="AN94" s="61" t="n">
        <v>64.93999999999998</v>
      </c>
    </row>
    <row r="95" ht="19" customHeight="1">
      <c r="A95" s="24" t="inlineStr">
        <is>
          <t>2022-06-01</t>
        </is>
      </c>
      <c r="B95" s="61" t="n">
        <v>245.6045460968532</v>
      </c>
      <c r="C95" s="61" t="n">
        <v>157.3824336113997</v>
      </c>
      <c r="D95" s="61" t="n">
        <v>101.3150706430689</v>
      </c>
      <c r="E95" s="61" t="n">
        <v>247.9956807181265</v>
      </c>
      <c r="F95" s="61" t="n">
        <v>68.7810007350472</v>
      </c>
      <c r="G95" s="61" t="n">
        <v>128.6303824721165</v>
      </c>
      <c r="H95" s="61" t="n">
        <v>476.7807754855149</v>
      </c>
      <c r="I95" s="61" t="n">
        <v>64.97505110317626</v>
      </c>
      <c r="J95" s="61" t="n">
        <v>177.8456282814771</v>
      </c>
      <c r="K95" s="61" t="n">
        <v>74.37874822792845</v>
      </c>
      <c r="L95" s="61" t="n">
        <v>119.84</v>
      </c>
      <c r="M95" s="61" t="n">
        <v>20.47000000000001</v>
      </c>
      <c r="N95" s="61" t="n">
        <v>125.51</v>
      </c>
      <c r="O95" s="61" t="n">
        <v>273.132073744442</v>
      </c>
      <c r="P95" s="61" t="n">
        <v>36.28999999999996</v>
      </c>
      <c r="Q95" s="61" t="n">
        <v>356.7160839679793</v>
      </c>
      <c r="R95" s="61" t="n">
        <v>133.8971937121755</v>
      </c>
      <c r="S95" s="61" t="n">
        <v>37.79999999999995</v>
      </c>
      <c r="T95" s="61" t="n">
        <v>135.9900000000003</v>
      </c>
      <c r="U95" s="61" t="n">
        <v>15.12000000000001</v>
      </c>
      <c r="V95" s="61" t="n">
        <v>41.24622824532135</v>
      </c>
      <c r="W95" s="61" t="n">
        <v>99.69999999999997</v>
      </c>
      <c r="X95" s="61" t="n">
        <v>80.80999999999993</v>
      </c>
      <c r="Y95" s="61" t="n">
        <v>313.24</v>
      </c>
      <c r="Z95" s="61" t="n">
        <v>27.96721636840154</v>
      </c>
      <c r="AA95" s="61" t="n">
        <v>552.3199999999995</v>
      </c>
      <c r="AB95" s="61" t="n">
        <v>131.96</v>
      </c>
      <c r="AC95" s="61" t="n">
        <v>55.5785536075221</v>
      </c>
      <c r="AD95" s="61" t="n">
        <v>144.6099999999999</v>
      </c>
      <c r="AE95" s="61" t="n">
        <v>38.51000000000005</v>
      </c>
      <c r="AF95" s="61" t="n">
        <v>122.11</v>
      </c>
      <c r="AG95" s="61" t="n">
        <v>77.89999999999993</v>
      </c>
      <c r="AH95" s="61" t="n">
        <v>32.37000000000002</v>
      </c>
      <c r="AI95" s="61" t="n">
        <v>223.4099999999998</v>
      </c>
      <c r="AJ95" s="61" t="n">
        <v>93.82999999999993</v>
      </c>
      <c r="AK95" s="61" t="n">
        <v>68.97000000000006</v>
      </c>
      <c r="AL95" s="61" t="n">
        <v>90.99999999999994</v>
      </c>
      <c r="AM95" s="61" t="n">
        <v>82.25000000000013</v>
      </c>
      <c r="AN95" s="61" t="n">
        <v>61.20999999999999</v>
      </c>
    </row>
    <row r="96" ht="19" customHeight="1">
      <c r="A96" s="24" t="inlineStr">
        <is>
          <t>2022-07-01</t>
        </is>
      </c>
      <c r="B96" s="61" t="n">
        <v>269.4871429659113</v>
      </c>
      <c r="C96" s="61" t="n">
        <v>154.7314982214507</v>
      </c>
      <c r="D96" s="61" t="n">
        <v>104.7073210882035</v>
      </c>
      <c r="E96" s="61" t="n">
        <v>271.083223503877</v>
      </c>
      <c r="F96" s="61" t="n">
        <v>75.02331833212045</v>
      </c>
      <c r="G96" s="61" t="n">
        <v>125.0716010536156</v>
      </c>
      <c r="H96" s="61" t="n">
        <v>503.4311583005911</v>
      </c>
      <c r="I96" s="61" t="n">
        <v>68.30663898651044</v>
      </c>
      <c r="J96" s="61" t="n">
        <v>194.4685934555781</v>
      </c>
      <c r="K96" s="61" t="n">
        <v>84.18416547331093</v>
      </c>
      <c r="L96" s="61" t="n">
        <v>125.9</v>
      </c>
      <c r="M96" s="61" t="n">
        <v>21.27000000000001</v>
      </c>
      <c r="N96" s="61" t="n">
        <v>136.36</v>
      </c>
      <c r="O96" s="61" t="n">
        <v>307.4147922446231</v>
      </c>
      <c r="P96" s="61" t="n">
        <v>41.02999999999996</v>
      </c>
      <c r="Q96" s="61" t="n">
        <v>389.5653547084225</v>
      </c>
      <c r="R96" s="61" t="n">
        <v>159.154756950878</v>
      </c>
      <c r="S96" s="61" t="n">
        <v>40.58999999999995</v>
      </c>
      <c r="T96" s="61" t="n">
        <v>159.3700000000003</v>
      </c>
      <c r="U96" s="61" t="n">
        <v>18.11000000000001</v>
      </c>
      <c r="V96" s="61" t="n">
        <v>40.04431315425268</v>
      </c>
      <c r="W96" s="61" t="n">
        <v>100.32</v>
      </c>
      <c r="X96" s="61" t="n">
        <v>79.18999999999993</v>
      </c>
      <c r="Y96" s="61" t="n">
        <v>318.51</v>
      </c>
      <c r="Z96" s="61" t="n">
        <v>30.37491402555723</v>
      </c>
      <c r="AA96" s="61" t="n">
        <v>606.8599999999994</v>
      </c>
      <c r="AB96" s="61" t="n">
        <v>146.62</v>
      </c>
      <c r="AC96" s="61" t="n">
        <v>56.69173645772717</v>
      </c>
      <c r="AD96" s="61" t="n">
        <v>151.8099999999999</v>
      </c>
      <c r="AE96" s="61" t="n">
        <v>41.83000000000005</v>
      </c>
      <c r="AF96" s="61" t="n">
        <v>138.13</v>
      </c>
      <c r="AG96" s="61" t="n">
        <v>84.49999999999993</v>
      </c>
      <c r="AH96" s="61" t="n">
        <v>33.52000000000002</v>
      </c>
      <c r="AI96" s="61" t="n">
        <v>238.3299999999998</v>
      </c>
      <c r="AJ96" s="61" t="n">
        <v>105.5099999999999</v>
      </c>
      <c r="AK96" s="61" t="n">
        <v>76.55000000000007</v>
      </c>
      <c r="AL96" s="61" t="n">
        <v>93.29999999999994</v>
      </c>
      <c r="AM96" s="61" t="n">
        <v>84.50000000000014</v>
      </c>
      <c r="AN96" s="61" t="n">
        <v>65.99999999999999</v>
      </c>
    </row>
    <row r="97" ht="19" customHeight="1">
      <c r="A97" s="24" t="inlineStr">
        <is>
          <t>2022-08-01</t>
        </is>
      </c>
      <c r="B97" s="61" t="n">
        <v>259.9608713638478</v>
      </c>
      <c r="C97" s="61" t="n">
        <v>144.0070656615654</v>
      </c>
      <c r="D97" s="61" t="n">
        <v>103.227836587521</v>
      </c>
      <c r="E97" s="61" t="n">
        <v>253.0119708587009</v>
      </c>
      <c r="F97" s="61" t="n">
        <v>75.89576082486209</v>
      </c>
      <c r="G97" s="61" t="n">
        <v>124.1982517031364</v>
      </c>
      <c r="H97" s="61" t="n">
        <v>482.0719108636223</v>
      </c>
      <c r="I97" s="61" t="n">
        <v>66.15037353192866</v>
      </c>
      <c r="J97" s="61" t="n">
        <v>187.2178735648659</v>
      </c>
      <c r="K97" s="61" t="n">
        <v>83.82702459012692</v>
      </c>
      <c r="L97" s="61" t="n">
        <v>122.53</v>
      </c>
      <c r="M97" s="61" t="n">
        <v>20.69000000000002</v>
      </c>
      <c r="N97" s="61" t="n">
        <v>131.61</v>
      </c>
      <c r="O97" s="61" t="n">
        <v>291.638265106629</v>
      </c>
      <c r="P97" s="61" t="n">
        <v>38.97999999999995</v>
      </c>
      <c r="Q97" s="61" t="n">
        <v>373.671088236319</v>
      </c>
      <c r="R97" s="61" t="n">
        <v>154.1875369864411</v>
      </c>
      <c r="S97" s="61" t="n">
        <v>39.99999999999995</v>
      </c>
      <c r="T97" s="61" t="n">
        <v>147.1800000000003</v>
      </c>
      <c r="U97" s="61" t="n">
        <v>15.05000000000001</v>
      </c>
      <c r="V97" s="61" t="n">
        <v>35.85848110023865</v>
      </c>
      <c r="W97" s="61" t="n">
        <v>94.61999999999998</v>
      </c>
      <c r="X97" s="61" t="n">
        <v>75.65999999999993</v>
      </c>
      <c r="Y97" s="61" t="n">
        <v>291.97</v>
      </c>
      <c r="Z97" s="61" t="n">
        <v>30.19509453452594</v>
      </c>
      <c r="AA97" s="61" t="n">
        <v>604.3299999999995</v>
      </c>
      <c r="AB97" s="61" t="n">
        <v>144.7</v>
      </c>
      <c r="AC97" s="61" t="n">
        <v>54.51817528193791</v>
      </c>
      <c r="AD97" s="61" t="n">
        <v>149.4799999999999</v>
      </c>
      <c r="AE97" s="61" t="n">
        <v>42.17000000000004</v>
      </c>
      <c r="AF97" s="61" t="n">
        <v>134.52</v>
      </c>
      <c r="AG97" s="61" t="n">
        <v>95.35999999999993</v>
      </c>
      <c r="AH97" s="61" t="n">
        <v>34.54000000000002</v>
      </c>
      <c r="AI97" s="61" t="n">
        <v>229.5399999999998</v>
      </c>
      <c r="AJ97" s="61" t="n">
        <v>97.73999999999991</v>
      </c>
      <c r="AK97" s="61" t="n">
        <v>76.34000000000007</v>
      </c>
      <c r="AL97" s="61" t="n">
        <v>91.57999999999994</v>
      </c>
      <c r="AM97" s="61" t="n">
        <v>86.58000000000015</v>
      </c>
      <c r="AN97" s="61" t="n">
        <v>66.72999999999999</v>
      </c>
    </row>
    <row r="98" ht="19" customHeight="1">
      <c r="A98" s="24" t="inlineStr">
        <is>
          <t>2022-09-01</t>
        </is>
      </c>
      <c r="B98" s="61" t="n">
        <v>248.7123093482294</v>
      </c>
      <c r="C98" s="61" t="n">
        <v>145.8100495324042</v>
      </c>
      <c r="D98" s="61" t="n">
        <v>94.85016142751316</v>
      </c>
      <c r="E98" s="61" t="n">
        <v>225.3661533328464</v>
      </c>
      <c r="F98" s="61" t="n">
        <v>69.9622104347808</v>
      </c>
      <c r="G98" s="61" t="n">
        <v>113.6728070654675</v>
      </c>
      <c r="H98" s="61" t="n">
        <v>470.2781416002496</v>
      </c>
      <c r="I98" s="61" t="n">
        <v>61.47049609697128</v>
      </c>
      <c r="J98" s="61" t="n">
        <v>169.9367438461981</v>
      </c>
      <c r="K98" s="61" t="n">
        <v>76.56591556521157</v>
      </c>
      <c r="L98" s="61" t="n">
        <v>112.96</v>
      </c>
      <c r="M98" s="61" t="n">
        <v>19.15000000000001</v>
      </c>
      <c r="N98" s="61" t="n">
        <v>119.55</v>
      </c>
      <c r="O98" s="61" t="n">
        <v>260.9112574949946</v>
      </c>
      <c r="P98" s="61" t="n">
        <v>34.89999999999996</v>
      </c>
      <c r="Q98" s="61" t="n">
        <v>339.1251961288713</v>
      </c>
      <c r="R98" s="61" t="n">
        <v>135.5339287618214</v>
      </c>
      <c r="S98" s="61" t="n">
        <v>35.77999999999996</v>
      </c>
      <c r="T98" s="61" t="n">
        <v>137.8900000000003</v>
      </c>
      <c r="U98" s="61" t="n">
        <v>12.11000000000001</v>
      </c>
      <c r="V98" s="61" t="n">
        <v>34.69308046448089</v>
      </c>
      <c r="W98" s="61" t="n">
        <v>89.18999999999997</v>
      </c>
      <c r="X98" s="61" t="n">
        <v>76.94999999999993</v>
      </c>
      <c r="Y98" s="61" t="n">
        <v>313.41</v>
      </c>
      <c r="Z98" s="61" t="n">
        <v>27.31025520269733</v>
      </c>
      <c r="AA98" s="61" t="n">
        <v>502.7399999999996</v>
      </c>
      <c r="AB98" s="61" t="n">
        <v>128.43</v>
      </c>
      <c r="AC98" s="61" t="n">
        <v>49.85196465955684</v>
      </c>
      <c r="AD98" s="61" t="n">
        <v>142.6099999999999</v>
      </c>
      <c r="AE98" s="61" t="n">
        <v>41.26000000000004</v>
      </c>
      <c r="AF98" s="61" t="n">
        <v>122.27</v>
      </c>
      <c r="AG98" s="61" t="n">
        <v>90.35999999999994</v>
      </c>
      <c r="AH98" s="61" t="n">
        <v>32.65000000000002</v>
      </c>
      <c r="AI98" s="61" t="n">
        <v>209.9499999999998</v>
      </c>
      <c r="AJ98" s="61" t="n">
        <v>76.53999999999994</v>
      </c>
      <c r="AK98" s="61" t="n">
        <v>76.51000000000008</v>
      </c>
      <c r="AL98" s="61" t="n">
        <v>79.67999999999996</v>
      </c>
      <c r="AM98" s="61" t="n">
        <v>74.70000000000014</v>
      </c>
      <c r="AN98" s="61" t="n">
        <v>58.87999999999999</v>
      </c>
    </row>
    <row r="99" ht="19" customHeight="1">
      <c r="A99" s="24" t="inlineStr">
        <is>
          <t>2022-10-01</t>
        </is>
      </c>
      <c r="B99" s="61" t="n">
        <v>266.91011522629</v>
      </c>
      <c r="C99" s="61" t="n">
        <v>155.2802238629499</v>
      </c>
      <c r="D99" s="61" t="n">
        <v>115.2781027261622</v>
      </c>
      <c r="E99" s="61" t="n">
        <v>224.6210621801312</v>
      </c>
      <c r="F99" s="61" t="n">
        <v>69.15026414150438</v>
      </c>
      <c r="G99" s="61" t="n">
        <v>122.114533363873</v>
      </c>
      <c r="H99" s="61" t="n">
        <v>516.9390489867013</v>
      </c>
      <c r="I99" s="61" t="n">
        <v>66.20400300366738</v>
      </c>
      <c r="J99" s="61" t="n">
        <v>183.7233332553748</v>
      </c>
      <c r="K99" s="61" t="n">
        <v>97.17408868497235</v>
      </c>
      <c r="L99" s="61" t="n">
        <v>126.21</v>
      </c>
      <c r="M99" s="61" t="n">
        <v>21.30000000000001</v>
      </c>
      <c r="N99" s="61" t="n">
        <v>131.08</v>
      </c>
      <c r="O99" s="61" t="n">
        <v>271.3471859722794</v>
      </c>
      <c r="P99" s="61" t="n">
        <v>36.33999999999996</v>
      </c>
      <c r="Q99" s="61" t="n">
        <v>366.6875964442453</v>
      </c>
      <c r="R99" s="61" t="n">
        <v>150.3818061916078</v>
      </c>
      <c r="S99" s="61" t="n">
        <v>41.01999999999995</v>
      </c>
      <c r="T99" s="61" t="n">
        <v>144.2400000000003</v>
      </c>
      <c r="U99" s="61" t="n">
        <v>13.46000000000001</v>
      </c>
      <c r="V99" s="61" t="n">
        <v>36.9050071956548</v>
      </c>
      <c r="W99" s="61" t="n">
        <v>91.62999999999997</v>
      </c>
      <c r="X99" s="61" t="n">
        <v>90.41999999999992</v>
      </c>
      <c r="Y99" s="61" t="n">
        <v>350.96</v>
      </c>
      <c r="Z99" s="61" t="n">
        <v>32.59143042302933</v>
      </c>
      <c r="AA99" s="61" t="n">
        <v>590.1099999999994</v>
      </c>
      <c r="AB99" s="61" t="n">
        <v>141.86</v>
      </c>
      <c r="AC99" s="61" t="n">
        <v>53.26029363136608</v>
      </c>
      <c r="AD99" s="61" t="n">
        <v>158.6199999999999</v>
      </c>
      <c r="AE99" s="61" t="n">
        <v>45.28000000000004</v>
      </c>
      <c r="AF99" s="61" t="n">
        <v>153.96</v>
      </c>
      <c r="AG99" s="61" t="n">
        <v>111.3299999999999</v>
      </c>
      <c r="AH99" s="61" t="n">
        <v>47.32000000000004</v>
      </c>
      <c r="AI99" s="61" t="n">
        <v>248.0899999999998</v>
      </c>
      <c r="AJ99" s="61" t="n">
        <v>85.33999999999993</v>
      </c>
      <c r="AK99" s="61" t="n">
        <v>78.63000000000007</v>
      </c>
      <c r="AL99" s="61" t="n">
        <v>79.81999999999995</v>
      </c>
      <c r="AM99" s="61" t="n">
        <v>75.97000000000014</v>
      </c>
      <c r="AN99" s="61" t="n">
        <v>56.69999999999999</v>
      </c>
    </row>
    <row r="100" ht="19" customHeight="1">
      <c r="A100" s="24" t="inlineStr">
        <is>
          <t>2022-11-01</t>
        </is>
      </c>
      <c r="B100" s="61" t="n">
        <v>293.7877249450242</v>
      </c>
      <c r="C100" s="61" t="n">
        <v>159.9027446979827</v>
      </c>
      <c r="D100" s="61" t="n">
        <v>126.5421715706163</v>
      </c>
      <c r="E100" s="61" t="n">
        <v>247.5825210106453</v>
      </c>
      <c r="F100" s="61" t="n">
        <v>75.95834725190073</v>
      </c>
      <c r="G100" s="61" t="n">
        <v>135.2536030098761</v>
      </c>
      <c r="H100" s="61" t="n">
        <v>510.0577512526118</v>
      </c>
      <c r="I100" s="61" t="n">
        <v>69.98894332046166</v>
      </c>
      <c r="J100" s="61" t="n">
        <v>193.2205312118816</v>
      </c>
      <c r="K100" s="61" t="n">
        <v>98.42489781232294</v>
      </c>
      <c r="L100" s="61" t="n">
        <v>133.78</v>
      </c>
      <c r="M100" s="61" t="n">
        <v>22.76000000000002</v>
      </c>
      <c r="N100" s="61" t="n">
        <v>139.78</v>
      </c>
      <c r="O100" s="61" t="n">
        <v>286.3912166569545</v>
      </c>
      <c r="P100" s="61" t="n">
        <v>38.01999999999996</v>
      </c>
      <c r="Q100" s="61" t="n">
        <v>387.0724933057738</v>
      </c>
      <c r="R100" s="61" t="n">
        <v>145.4146951330989</v>
      </c>
      <c r="S100" s="61" t="n">
        <v>44.88999999999994</v>
      </c>
      <c r="T100" s="61" t="n">
        <v>162.0500000000003</v>
      </c>
      <c r="U100" s="61" t="n">
        <v>16.89000000000001</v>
      </c>
      <c r="V100" s="61" t="n">
        <v>40.08389380046692</v>
      </c>
      <c r="W100" s="61" t="n">
        <v>99.62999999999997</v>
      </c>
      <c r="X100" s="61" t="n">
        <v>98.39999999999991</v>
      </c>
      <c r="Y100" s="61" t="n">
        <v>360.6300000000001</v>
      </c>
      <c r="Z100" s="61" t="n">
        <v>34.22823724173471</v>
      </c>
      <c r="AA100" s="61" t="n">
        <v>654.1399999999994</v>
      </c>
      <c r="AB100" s="61" t="n">
        <v>150.59</v>
      </c>
      <c r="AC100" s="61" t="n">
        <v>57.00779441185627</v>
      </c>
      <c r="AD100" s="61" t="n">
        <v>162.0499999999999</v>
      </c>
      <c r="AE100" s="61" t="n">
        <v>48.49000000000005</v>
      </c>
      <c r="AF100" s="61" t="n">
        <v>157.21</v>
      </c>
      <c r="AG100" s="61" t="n">
        <v>109.4799999999999</v>
      </c>
      <c r="AH100" s="61" t="n">
        <v>46.88000000000004</v>
      </c>
      <c r="AI100" s="61" t="n">
        <v>249.5999999999997</v>
      </c>
      <c r="AJ100" s="61" t="n">
        <v>100.9999999999999</v>
      </c>
      <c r="AK100" s="61" t="n">
        <v>93.34000000000009</v>
      </c>
      <c r="AL100" s="61" t="n">
        <v>86.47999999999996</v>
      </c>
      <c r="AM100" s="61" t="n">
        <v>84.42000000000016</v>
      </c>
      <c r="AN100" s="61" t="n">
        <v>59.18999999999999</v>
      </c>
    </row>
    <row r="101" ht="19" customHeight="1">
      <c r="A101" s="10" t="inlineStr">
        <is>
          <t>2022-12-01</t>
        </is>
      </c>
      <c r="B101" s="65" t="n">
        <v>286.4156437545283</v>
      </c>
      <c r="C101" s="65" t="n">
        <v>158.6899882350655</v>
      </c>
      <c r="D101" s="65" t="n">
        <v>122.8058155368688</v>
      </c>
      <c r="E101" s="65" t="n">
        <v>232.7162619135244</v>
      </c>
      <c r="F101" s="65" t="n">
        <v>74.97186973968078</v>
      </c>
      <c r="G101" s="65" t="n">
        <v>137.4298475486798</v>
      </c>
      <c r="H101" s="65" t="n">
        <v>495.2095202427117</v>
      </c>
      <c r="I101" s="65" t="n">
        <v>67.3627960726852</v>
      </c>
      <c r="J101" s="65" t="n">
        <v>181.9069796818204</v>
      </c>
      <c r="K101" s="65" t="n">
        <v>97.5055255071678</v>
      </c>
      <c r="L101" s="65" t="n">
        <v>129.36</v>
      </c>
      <c r="M101" s="65" t="n">
        <v>21.98000000000001</v>
      </c>
      <c r="N101" s="65" t="n">
        <v>133.22</v>
      </c>
      <c r="O101" s="65" t="n">
        <v>260.5759123874966</v>
      </c>
      <c r="P101" s="65" t="n">
        <v>34.83999999999997</v>
      </c>
      <c r="Q101" s="65" t="n">
        <v>364.765505516562</v>
      </c>
      <c r="R101" s="65" t="n">
        <v>127.6348403591749</v>
      </c>
      <c r="S101" s="65" t="n">
        <v>43.00999999999994</v>
      </c>
      <c r="T101" s="65" t="n">
        <v>148.3600000000003</v>
      </c>
      <c r="U101" s="65" t="n">
        <v>14.58000000000001</v>
      </c>
      <c r="V101" s="65" t="n">
        <v>40.97143137699686</v>
      </c>
      <c r="W101" s="65" t="n">
        <v>101.67</v>
      </c>
      <c r="X101" s="65" t="n">
        <v>99.78999999999991</v>
      </c>
      <c r="Y101" s="65" t="n">
        <v>355.5400000000001</v>
      </c>
      <c r="Z101" s="65" t="n">
        <v>30.1259830083128</v>
      </c>
      <c r="AA101" s="65" t="n">
        <v>651.8699999999994</v>
      </c>
      <c r="AB101" s="65" t="n">
        <v>141.19</v>
      </c>
      <c r="AC101" s="65" t="n">
        <v>57.00779441185627</v>
      </c>
      <c r="AD101" s="65" t="n">
        <v>158.7999999999999</v>
      </c>
      <c r="AE101" s="65" t="n">
        <v>45.28000000000004</v>
      </c>
      <c r="AF101" s="65" t="n">
        <v>153.94</v>
      </c>
      <c r="AG101" s="65" t="n">
        <v>105.2499999999999</v>
      </c>
      <c r="AH101" s="65" t="n">
        <v>48.79000000000003</v>
      </c>
      <c r="AI101" s="65" t="n">
        <v>241.1299999999997</v>
      </c>
      <c r="AJ101" s="65" t="n">
        <v>108.0699999999999</v>
      </c>
      <c r="AK101" s="65" t="n">
        <v>90.60000000000008</v>
      </c>
      <c r="AL101" s="65" t="n">
        <v>89.12999999999995</v>
      </c>
      <c r="AM101" s="65" t="n">
        <v>82.81000000000016</v>
      </c>
      <c r="AN101" s="65" t="n">
        <v>62.48999999999999</v>
      </c>
    </row>
    <row r="102" ht="19" customHeight="1">
      <c r="A102" s="19" t="inlineStr">
        <is>
          <t>2023-01-01</t>
        </is>
      </c>
      <c r="B102" s="62" t="n">
        <v>293.9447406212471</v>
      </c>
      <c r="C102" s="62" t="n">
        <v>146.8092404392968</v>
      </c>
      <c r="D102" s="62" t="n">
        <v>129.1261148381148</v>
      </c>
      <c r="E102" s="62" t="n">
        <v>240.4754704399872</v>
      </c>
      <c r="F102" s="62" t="n">
        <v>66.93274153606603</v>
      </c>
      <c r="G102" s="62" t="n">
        <v>129.9193093803594</v>
      </c>
      <c r="H102" s="62" t="n">
        <v>466.2607174419392</v>
      </c>
      <c r="I102" s="62" t="n">
        <v>68.99790811396716</v>
      </c>
      <c r="J102" s="62" t="n">
        <v>194.5067704794177</v>
      </c>
      <c r="K102" s="62" t="n">
        <v>102.5542582438765</v>
      </c>
      <c r="L102" s="62" t="n">
        <v>132.96</v>
      </c>
      <c r="M102" s="62" t="n">
        <v>22.44000000000002</v>
      </c>
      <c r="N102" s="62" t="n">
        <v>143.1</v>
      </c>
      <c r="O102" s="62" t="n">
        <v>288.3061024124086</v>
      </c>
      <c r="P102" s="62" t="n">
        <v>38.45999999999996</v>
      </c>
      <c r="Q102" s="62" t="n">
        <v>387.7058517621754</v>
      </c>
      <c r="R102" s="62" t="n">
        <v>141.7431646636634</v>
      </c>
      <c r="S102" s="62" t="n">
        <v>44.28999999999994</v>
      </c>
      <c r="T102" s="62" t="n">
        <v>160.2600000000003</v>
      </c>
      <c r="U102" s="62" t="n">
        <v>19.49000000000001</v>
      </c>
      <c r="V102" s="62" t="n">
        <v>35.63994384673823</v>
      </c>
      <c r="W102" s="62" t="n">
        <v>102.84</v>
      </c>
      <c r="X102" s="62" t="n">
        <v>96.60999999999991</v>
      </c>
      <c r="Y102" s="62" t="n">
        <v>334.46</v>
      </c>
      <c r="Z102" s="62" t="n">
        <v>32.27569636602514</v>
      </c>
      <c r="AA102" s="62" t="n">
        <v>698.3999999999994</v>
      </c>
      <c r="AB102" s="62" t="n">
        <v>167.74</v>
      </c>
      <c r="AC102" s="62" t="n">
        <v>54.94823537137181</v>
      </c>
      <c r="AD102" s="62" t="n">
        <v>150.3199999999999</v>
      </c>
      <c r="AE102" s="62" t="n">
        <v>45.94000000000004</v>
      </c>
      <c r="AF102" s="62" t="n">
        <v>149.25</v>
      </c>
      <c r="AG102" s="62" t="n">
        <v>108.6999999999999</v>
      </c>
      <c r="AH102" s="62" t="n">
        <v>52.00000000000003</v>
      </c>
      <c r="AI102" s="62" t="n">
        <v>244.6699999999997</v>
      </c>
      <c r="AJ102" s="62" t="n">
        <v>117.5999999999999</v>
      </c>
      <c r="AK102" s="62" t="n">
        <v>99.68000000000011</v>
      </c>
      <c r="AL102" s="62" t="n">
        <v>88.66999999999996</v>
      </c>
      <c r="AM102" s="62" t="n">
        <v>81.95000000000016</v>
      </c>
      <c r="AN102" s="62" t="n">
        <v>59.21999999999999</v>
      </c>
    </row>
    <row r="103" ht="19" customHeight="1">
      <c r="A103" s="19" t="inlineStr">
        <is>
          <t>2023-02-01</t>
        </is>
      </c>
      <c r="B103" s="62" t="n">
        <v>268.8877462679971</v>
      </c>
      <c r="C103" s="62" t="n">
        <v>138.6687280607145</v>
      </c>
      <c r="D103" s="62" t="n">
        <v>132.2462625944261</v>
      </c>
      <c r="E103" s="62" t="n">
        <v>242.64524911298</v>
      </c>
      <c r="F103" s="62" t="n">
        <v>64.11304731539519</v>
      </c>
      <c r="G103" s="62" t="n">
        <v>125.5189940753515</v>
      </c>
      <c r="H103" s="62" t="n">
        <v>444.5516152379749</v>
      </c>
      <c r="I103" s="62" t="n">
        <v>66.81189201572097</v>
      </c>
      <c r="J103" s="62" t="n">
        <v>189.8368480171336</v>
      </c>
      <c r="K103" s="62" t="n">
        <v>97.91542262044516</v>
      </c>
      <c r="L103" s="62" t="n">
        <v>128.66</v>
      </c>
      <c r="M103" s="62" t="n">
        <v>21.69000000000002</v>
      </c>
      <c r="N103" s="62" t="n">
        <v>138.26</v>
      </c>
      <c r="O103" s="62" t="n">
        <v>287.2675933153287</v>
      </c>
      <c r="P103" s="62" t="n">
        <v>37.90999999999995</v>
      </c>
      <c r="Q103" s="62" t="n">
        <v>377.955704600243</v>
      </c>
      <c r="R103" s="62" t="n">
        <v>145.0327739451494</v>
      </c>
      <c r="S103" s="62" t="n">
        <v>44.06999999999994</v>
      </c>
      <c r="T103" s="62" t="n">
        <v>155.0500000000003</v>
      </c>
      <c r="U103" s="62" t="n">
        <v>23.16000000000001</v>
      </c>
      <c r="V103" s="62" t="n">
        <v>32.73913449631609</v>
      </c>
      <c r="W103" s="62" t="n">
        <v>94.62999999999997</v>
      </c>
      <c r="X103" s="62" t="n">
        <v>95.55999999999992</v>
      </c>
      <c r="Y103" s="62" t="n">
        <v>303.4300000000001</v>
      </c>
      <c r="Z103" s="62" t="n">
        <v>31.19584035377894</v>
      </c>
      <c r="AA103" s="62" t="n">
        <v>634.2099999999996</v>
      </c>
      <c r="AB103" s="62" t="n">
        <v>166.84</v>
      </c>
      <c r="AC103" s="62" t="n">
        <v>53.32858214535976</v>
      </c>
      <c r="AD103" s="62" t="n">
        <v>152.5299999999999</v>
      </c>
      <c r="AE103" s="62" t="n">
        <v>45.39000000000004</v>
      </c>
      <c r="AF103" s="62" t="n">
        <v>139.1</v>
      </c>
      <c r="AG103" s="62" t="n">
        <v>92.59999999999992</v>
      </c>
      <c r="AH103" s="62" t="n">
        <v>48.79000000000003</v>
      </c>
      <c r="AI103" s="62" t="n">
        <v>242.8699999999997</v>
      </c>
      <c r="AJ103" s="62" t="n">
        <v>109.7199999999999</v>
      </c>
      <c r="AK103" s="62" t="n">
        <v>93.7000000000001</v>
      </c>
      <c r="AL103" s="62" t="n">
        <v>82.40999999999995</v>
      </c>
      <c r="AM103" s="62" t="n">
        <v>77.43000000000016</v>
      </c>
      <c r="AN103" s="62" t="n">
        <v>55.75999999999999</v>
      </c>
    </row>
    <row r="104" ht="19" customHeight="1">
      <c r="A104" s="19" t="inlineStr">
        <is>
          <t>2023-03-01</t>
        </is>
      </c>
      <c r="B104" s="62" t="n">
        <v>269.5476671089047</v>
      </c>
      <c r="C104" s="62" t="n">
        <v>140.248827515034</v>
      </c>
      <c r="D104" s="62" t="n">
        <v>120.2156928801872</v>
      </c>
      <c r="E104" s="62" t="n">
        <v>280.4613916994262</v>
      </c>
      <c r="F104" s="62" t="n">
        <v>69.57245527456638</v>
      </c>
      <c r="G104" s="62" t="n">
        <v>135.6697214266766</v>
      </c>
      <c r="H104" s="62" t="n">
        <v>442.9916797502649</v>
      </c>
      <c r="I104" s="62" t="n">
        <v>66.55309010985357</v>
      </c>
      <c r="J104" s="62" t="n">
        <v>194.976762675836</v>
      </c>
      <c r="K104" s="62" t="n">
        <v>97.68548033738713</v>
      </c>
      <c r="L104" s="62" t="n">
        <v>128.07</v>
      </c>
      <c r="M104" s="62" t="n">
        <v>21.46000000000002</v>
      </c>
      <c r="N104" s="62" t="n">
        <v>137.08</v>
      </c>
      <c r="O104" s="62" t="n">
        <v>314.5384427780708</v>
      </c>
      <c r="P104" s="62" t="n">
        <v>40.84999999999995</v>
      </c>
      <c r="Q104" s="62" t="n">
        <v>391.9759162115551</v>
      </c>
      <c r="R104" s="62" t="n">
        <v>162.240730095415</v>
      </c>
      <c r="S104" s="62" t="n">
        <v>47.57999999999993</v>
      </c>
      <c r="T104" s="62" t="n">
        <v>168.2200000000003</v>
      </c>
      <c r="U104" s="62" t="n">
        <v>27.72000000000001</v>
      </c>
      <c r="V104" s="62" t="n">
        <v>32.92918752272306</v>
      </c>
      <c r="W104" s="62" t="n">
        <v>94.19999999999997</v>
      </c>
      <c r="X104" s="62" t="n">
        <v>96.35999999999991</v>
      </c>
      <c r="Y104" s="62" t="n">
        <v>334.83</v>
      </c>
      <c r="Z104" s="62" t="n">
        <v>26.18650829697021</v>
      </c>
      <c r="AA104" s="62" t="n">
        <v>619.9799999999996</v>
      </c>
      <c r="AB104" s="62" t="n">
        <v>158.17</v>
      </c>
      <c r="AC104" s="62" t="n">
        <v>56.00800846987352</v>
      </c>
      <c r="AD104" s="62" t="n">
        <v>161.3199999999999</v>
      </c>
      <c r="AE104" s="62" t="n">
        <v>47.28000000000004</v>
      </c>
      <c r="AF104" s="62" t="n">
        <v>141.17</v>
      </c>
      <c r="AG104" s="62" t="n">
        <v>89.43999999999993</v>
      </c>
      <c r="AH104" s="62" t="n">
        <v>45.02000000000002</v>
      </c>
      <c r="AI104" s="62" t="n">
        <v>257.3199999999997</v>
      </c>
      <c r="AJ104" s="62" t="n">
        <v>113.5899999999999</v>
      </c>
      <c r="AK104" s="62" t="n">
        <v>95.5800000000001</v>
      </c>
      <c r="AL104" s="62" t="n">
        <v>84.33999999999996</v>
      </c>
      <c r="AM104" s="62" t="n">
        <v>80.09000000000016</v>
      </c>
      <c r="AN104" s="62" t="n">
        <v>61.52</v>
      </c>
    </row>
    <row r="105" ht="19" customHeight="1">
      <c r="A105" s="19" t="inlineStr">
        <is>
          <t>2023-04-01</t>
        </is>
      </c>
      <c r="B105" s="62" t="n">
        <v>274.4970734157118</v>
      </c>
      <c r="C105" s="62" t="n">
        <v>148.1193228982578</v>
      </c>
      <c r="D105" s="62" t="n">
        <v>128.5360868970175</v>
      </c>
      <c r="E105" s="62" t="n">
        <v>298.9095099098951</v>
      </c>
      <c r="F105" s="62" t="n">
        <v>69.16249973184473</v>
      </c>
      <c r="G105" s="62" t="n">
        <v>143.5802882590886</v>
      </c>
      <c r="H105" s="62" t="n">
        <v>461.2709237985592</v>
      </c>
      <c r="I105" s="62" t="n">
        <v>66.83629219540862</v>
      </c>
      <c r="J105" s="62" t="n">
        <v>197.0767278087689</v>
      </c>
      <c r="K105" s="62" t="n">
        <v>105.4235380368179</v>
      </c>
      <c r="L105" s="62" t="n">
        <v>130.34</v>
      </c>
      <c r="M105" s="62" t="n">
        <v>21.29000000000002</v>
      </c>
      <c r="N105" s="62" t="n">
        <v>137.58</v>
      </c>
      <c r="O105" s="62" t="n">
        <v>316.1361490812706</v>
      </c>
      <c r="P105" s="62" t="n">
        <v>41.27999999999995</v>
      </c>
      <c r="Q105" s="62" t="n">
        <v>398.2360106970625</v>
      </c>
      <c r="R105" s="62" t="n">
        <v>166.9401719261093</v>
      </c>
      <c r="S105" s="62" t="n">
        <v>43.31999999999994</v>
      </c>
      <c r="T105" s="62" t="n">
        <v>151.2100000000003</v>
      </c>
      <c r="U105" s="62" t="n">
        <v>27.69000000000002</v>
      </c>
      <c r="V105" s="62" t="n">
        <v>31.37875493887674</v>
      </c>
      <c r="W105" s="62" t="n">
        <v>103.28</v>
      </c>
      <c r="X105" s="62" t="n">
        <v>104.5799999999999</v>
      </c>
      <c r="Y105" s="62" t="n">
        <v>385.95</v>
      </c>
      <c r="Z105" s="62" t="n">
        <v>26.80642563733376</v>
      </c>
      <c r="AA105" s="62" t="n">
        <v>621.9099999999995</v>
      </c>
      <c r="AB105" s="62" t="n">
        <v>155.28</v>
      </c>
      <c r="AC105" s="62" t="n">
        <v>57.92759747848039</v>
      </c>
      <c r="AD105" s="62" t="n">
        <v>168.9199999999998</v>
      </c>
      <c r="AE105" s="62" t="n">
        <v>48.41000000000004</v>
      </c>
      <c r="AF105" s="62" t="n">
        <v>145.86</v>
      </c>
      <c r="AG105" s="62" t="n">
        <v>92.75999999999993</v>
      </c>
      <c r="AH105" s="62" t="n">
        <v>45.25000000000003</v>
      </c>
      <c r="AI105" s="62" t="n">
        <v>272.1799999999997</v>
      </c>
      <c r="AJ105" s="62" t="n">
        <v>117.3699999999999</v>
      </c>
      <c r="AK105" s="62" t="n">
        <v>104.9000000000001</v>
      </c>
      <c r="AL105" s="62" t="n">
        <v>86.44999999999996</v>
      </c>
      <c r="AM105" s="62" t="n">
        <v>81.35000000000016</v>
      </c>
      <c r="AN105" s="62" t="n">
        <v>65.03</v>
      </c>
    </row>
    <row r="106" ht="19" customHeight="1">
      <c r="A106" s="19" t="inlineStr">
        <is>
          <t>2023-05-01</t>
        </is>
      </c>
      <c r="B106" s="62" t="n">
        <v>260.7487225634697</v>
      </c>
      <c r="C106" s="62" t="n">
        <v>141.3588973848406</v>
      </c>
      <c r="D106" s="62" t="n">
        <v>126.1859756062061</v>
      </c>
      <c r="E106" s="62" t="n">
        <v>320.1673415171887</v>
      </c>
      <c r="F106" s="62" t="n">
        <v>66.73276322254326</v>
      </c>
      <c r="G106" s="62" t="n">
        <v>130.8393753077702</v>
      </c>
      <c r="H106" s="62" t="n">
        <v>456.721111959405</v>
      </c>
      <c r="I106" s="62" t="n">
        <v>64.86427767311149</v>
      </c>
      <c r="J106" s="62" t="n">
        <v>197.9167138619421</v>
      </c>
      <c r="K106" s="62" t="n">
        <v>91.81695337412378</v>
      </c>
      <c r="L106" s="62" t="n">
        <v>124.97</v>
      </c>
      <c r="M106" s="62" t="n">
        <v>20.42000000000002</v>
      </c>
      <c r="N106" s="62" t="n">
        <v>132.33</v>
      </c>
      <c r="O106" s="62" t="n">
        <v>341.0603674111878</v>
      </c>
      <c r="P106" s="62" t="n">
        <v>43.40999999999994</v>
      </c>
      <c r="Q106" s="62" t="n">
        <v>400.0760384691605</v>
      </c>
      <c r="R106" s="62" t="n">
        <v>174.6292586661175</v>
      </c>
      <c r="S106" s="62" t="n">
        <v>45.53999999999994</v>
      </c>
      <c r="T106" s="62" t="n">
        <v>158.4600000000003</v>
      </c>
      <c r="U106" s="62" t="n">
        <v>37.76000000000002</v>
      </c>
      <c r="V106" s="62" t="n">
        <v>31.00865167692633</v>
      </c>
      <c r="W106" s="62" t="n">
        <v>95.35999999999997</v>
      </c>
      <c r="X106" s="62" t="n">
        <v>99.9999999999999</v>
      </c>
      <c r="Y106" s="62" t="n">
        <v>419.8000000000001</v>
      </c>
      <c r="Z106" s="62" t="n">
        <v>25.44660695524596</v>
      </c>
      <c r="AA106" s="62" t="n">
        <v>609.2599999999995</v>
      </c>
      <c r="AB106" s="62" t="n">
        <v>152.61</v>
      </c>
      <c r="AC106" s="62" t="n">
        <v>53.86846655403044</v>
      </c>
      <c r="AD106" s="62" t="n">
        <v>161.3599999999998</v>
      </c>
      <c r="AE106" s="62" t="n">
        <v>47.27000000000005</v>
      </c>
      <c r="AF106" s="62" t="n">
        <v>131.6</v>
      </c>
      <c r="AG106" s="62" t="n">
        <v>89.97999999999993</v>
      </c>
      <c r="AH106" s="62" t="n">
        <v>39.27000000000003</v>
      </c>
      <c r="AI106" s="62" t="n">
        <v>262.3799999999997</v>
      </c>
      <c r="AJ106" s="62" t="n">
        <v>97.49999999999993</v>
      </c>
      <c r="AK106" s="62" t="n">
        <v>90.07000000000008</v>
      </c>
      <c r="AL106" s="62" t="n">
        <v>78.86999999999996</v>
      </c>
      <c r="AM106" s="62" t="n">
        <v>73.83000000000015</v>
      </c>
      <c r="AN106" s="62" t="n">
        <v>62.26</v>
      </c>
    </row>
    <row r="107" ht="19" customHeight="1">
      <c r="A107" s="19" t="inlineStr">
        <is>
          <t>2023-06-01</t>
        </is>
      </c>
      <c r="B107" s="62" t="n">
        <v>285.7657217142406</v>
      </c>
      <c r="C107" s="62" t="n">
        <v>150.8894972580456</v>
      </c>
      <c r="D107" s="62" t="n">
        <v>135.2264037206466</v>
      </c>
      <c r="E107" s="62" t="n">
        <v>332.0061339080805</v>
      </c>
      <c r="F107" s="62" t="n">
        <v>67.40269057284449</v>
      </c>
      <c r="G107" s="62" t="n">
        <v>139.3199829865128</v>
      </c>
      <c r="H107" s="62" t="n">
        <v>452.3612922629846</v>
      </c>
      <c r="I107" s="62" t="n">
        <v>67.5933977708808</v>
      </c>
      <c r="J107" s="62" t="n">
        <v>211.2264928711501</v>
      </c>
      <c r="K107" s="62" t="n">
        <v>96.36581158244547</v>
      </c>
      <c r="L107" s="62" t="n">
        <v>132.64</v>
      </c>
      <c r="M107" s="62" t="n">
        <v>21.50000000000001</v>
      </c>
      <c r="N107" s="62" t="n">
        <v>142.46</v>
      </c>
      <c r="O107" s="62" t="n">
        <v>362.5595028536205</v>
      </c>
      <c r="P107" s="62" t="n">
        <v>46.40999999999993</v>
      </c>
      <c r="Q107" s="62" t="n">
        <v>425.9964296934979</v>
      </c>
      <c r="R107" s="62" t="n">
        <v>191.0973026983589</v>
      </c>
      <c r="S107" s="62" t="n">
        <v>47.43999999999993</v>
      </c>
      <c r="T107" s="62" t="n">
        <v>164.0600000000003</v>
      </c>
      <c r="U107" s="62" t="n">
        <v>42.22000000000003</v>
      </c>
      <c r="V107" s="62" t="n">
        <v>29.91834747280215</v>
      </c>
      <c r="W107" s="62" t="n">
        <v>101.92</v>
      </c>
      <c r="X107" s="62" t="n">
        <v>105.2099999999999</v>
      </c>
      <c r="Y107" s="62" t="n">
        <v>458.4300000000001</v>
      </c>
      <c r="Z107" s="62" t="n">
        <v>26.47646963359187</v>
      </c>
      <c r="AA107" s="62" t="n">
        <v>645.0999999999996</v>
      </c>
      <c r="AB107" s="62" t="n">
        <v>167.66</v>
      </c>
      <c r="AC107" s="62" t="n">
        <v>54.78826962065457</v>
      </c>
      <c r="AD107" s="62" t="n">
        <v>165.0499999999998</v>
      </c>
      <c r="AE107" s="62" t="n">
        <v>50.59000000000005</v>
      </c>
      <c r="AF107" s="62" t="n">
        <v>137.48</v>
      </c>
      <c r="AG107" s="62" t="n">
        <v>94.44999999999993</v>
      </c>
      <c r="AH107" s="62" t="n">
        <v>45.28000000000003</v>
      </c>
      <c r="AI107" s="62" t="n">
        <v>276.0799999999997</v>
      </c>
      <c r="AJ107" s="62" t="n">
        <v>102.5599999999999</v>
      </c>
      <c r="AK107" s="62" t="n">
        <v>91.38000000000009</v>
      </c>
      <c r="AL107" s="62" t="n">
        <v>79.25999999999996</v>
      </c>
      <c r="AM107" s="62" t="n">
        <v>74.79000000000016</v>
      </c>
      <c r="AN107" s="62" t="n">
        <v>62.7</v>
      </c>
    </row>
    <row r="108" ht="19" customHeight="1">
      <c r="A108" s="19" t="inlineStr">
        <is>
          <t>2023-07-01</t>
        </is>
      </c>
      <c r="B108" s="62" t="n">
        <v>307.1031622369204</v>
      </c>
      <c r="C108" s="62" t="n">
        <v>152.7296130782657</v>
      </c>
      <c r="D108" s="62" t="n">
        <v>147.8770027967165</v>
      </c>
      <c r="E108" s="62" t="n">
        <v>327.5065928811368</v>
      </c>
      <c r="F108" s="62" t="n">
        <v>66.5827794874012</v>
      </c>
      <c r="G108" s="62" t="n">
        <v>144.4103477370788</v>
      </c>
      <c r="H108" s="62" t="n">
        <v>476.5802906683286</v>
      </c>
      <c r="I108" s="62" t="n">
        <v>68.934307645601</v>
      </c>
      <c r="J108" s="62" t="n">
        <v>218.9663643611028</v>
      </c>
      <c r="K108" s="62" t="n">
        <v>96.35581409187773</v>
      </c>
      <c r="L108" s="62" t="n">
        <v>137.22</v>
      </c>
      <c r="M108" s="62" t="n">
        <v>22.40000000000001</v>
      </c>
      <c r="N108" s="62" t="n">
        <v>147.45</v>
      </c>
      <c r="O108" s="62" t="n">
        <v>376.559404335409</v>
      </c>
      <c r="P108" s="62" t="n">
        <v>47.96999999999993</v>
      </c>
      <c r="Q108" s="62" t="n">
        <v>439.9466402482628</v>
      </c>
      <c r="R108" s="62" t="n">
        <v>193.5470117377633</v>
      </c>
      <c r="S108" s="62" t="n">
        <v>48.07999999999993</v>
      </c>
      <c r="T108" s="62" t="n">
        <v>165.1900000000003</v>
      </c>
      <c r="U108" s="62" t="n">
        <v>46.64000000000004</v>
      </c>
      <c r="V108" s="62" t="n">
        <v>29.7382972372587</v>
      </c>
      <c r="W108" s="62" t="n">
        <v>104.5799999999999</v>
      </c>
      <c r="X108" s="62" t="n">
        <v>97.23999999999991</v>
      </c>
      <c r="Y108" s="62" t="n">
        <v>444.3300000000001</v>
      </c>
      <c r="Z108" s="62" t="n">
        <v>29.52606300150936</v>
      </c>
      <c r="AA108" s="62" t="n">
        <v>689.6299999999995</v>
      </c>
      <c r="AB108" s="62" t="n">
        <v>163.1</v>
      </c>
      <c r="AC108" s="62" t="n">
        <v>56.34793569014766</v>
      </c>
      <c r="AD108" s="62" t="n">
        <v>167.0499999999998</v>
      </c>
      <c r="AE108" s="62" t="n">
        <v>51.45000000000005</v>
      </c>
      <c r="AF108" s="62" t="n">
        <v>142.99</v>
      </c>
      <c r="AG108" s="62" t="n">
        <v>107.3099999999999</v>
      </c>
      <c r="AH108" s="62" t="n">
        <v>53.78000000000004</v>
      </c>
      <c r="AI108" s="62" t="n">
        <v>271.2599999999997</v>
      </c>
      <c r="AJ108" s="62" t="n">
        <v>102.5799999999999</v>
      </c>
      <c r="AK108" s="62" t="n">
        <v>93.6900000000001</v>
      </c>
      <c r="AL108" s="62" t="n">
        <v>82.68999999999996</v>
      </c>
      <c r="AM108" s="62" t="n">
        <v>75.27000000000015</v>
      </c>
      <c r="AN108" s="62" t="n">
        <v>64.56999999999999</v>
      </c>
    </row>
    <row r="109" ht="19" customHeight="1">
      <c r="A109" s="19" t="inlineStr">
        <is>
          <t>2023-08-01</t>
        </is>
      </c>
      <c r="B109" s="62" t="n">
        <v>305.7833205551051</v>
      </c>
      <c r="C109" s="62" t="n">
        <v>148.4693449292779</v>
      </c>
      <c r="D109" s="62" t="n">
        <v>136.9964875439386</v>
      </c>
      <c r="E109" s="62" t="n">
        <v>320.227335397548</v>
      </c>
      <c r="F109" s="62" t="n">
        <v>61.10337369687771</v>
      </c>
      <c r="G109" s="62" t="n">
        <v>142.6002180320641</v>
      </c>
      <c r="H109" s="62" t="n">
        <v>448.5414502353871</v>
      </c>
      <c r="I109" s="62" t="n">
        <v>67.15049450925535</v>
      </c>
      <c r="J109" s="62" t="n">
        <v>214.7364345933379</v>
      </c>
      <c r="K109" s="62" t="n">
        <v>100.7347149605478</v>
      </c>
      <c r="L109" s="62" t="n">
        <v>133.95</v>
      </c>
      <c r="M109" s="62" t="n">
        <v>22.07000000000001</v>
      </c>
      <c r="N109" s="62" t="n">
        <v>142.73</v>
      </c>
      <c r="O109" s="62" t="n">
        <v>370.9674322742096</v>
      </c>
      <c r="P109" s="62" t="n">
        <v>47.44999999999994</v>
      </c>
      <c r="Q109" s="62" t="n">
        <v>432.7965323295123</v>
      </c>
      <c r="R109" s="62" t="n">
        <v>185.337986752657</v>
      </c>
      <c r="S109" s="62" t="n">
        <v>52.97999999999993</v>
      </c>
      <c r="T109" s="62" t="n">
        <v>154.2300000000003</v>
      </c>
      <c r="U109" s="62" t="n">
        <v>49.26000000000003</v>
      </c>
      <c r="V109" s="62" t="n">
        <v>29.17814094890133</v>
      </c>
      <c r="W109" s="62" t="n">
        <v>96.65999999999994</v>
      </c>
      <c r="X109" s="62" t="n">
        <v>99.35999999999991</v>
      </c>
      <c r="Y109" s="62" t="n">
        <v>542.9000000000001</v>
      </c>
      <c r="Z109" s="62" t="n">
        <v>26.67644296919301</v>
      </c>
      <c r="AA109" s="62" t="n">
        <v>653.8699999999995</v>
      </c>
      <c r="AB109" s="62" t="n">
        <v>152.58</v>
      </c>
      <c r="AC109" s="62" t="n">
        <v>54.43834454096061</v>
      </c>
      <c r="AD109" s="62" t="n">
        <v>159.6599999999998</v>
      </c>
      <c r="AE109" s="62" t="n">
        <v>52.52000000000006</v>
      </c>
      <c r="AF109" s="62" t="n">
        <v>142.1</v>
      </c>
      <c r="AG109" s="62" t="n">
        <v>108.9799999999999</v>
      </c>
      <c r="AH109" s="62" t="n">
        <v>54.36000000000003</v>
      </c>
      <c r="AI109" s="62" t="n">
        <v>261.5099999999997</v>
      </c>
      <c r="AJ109" s="62" t="n">
        <v>94.51999999999992</v>
      </c>
      <c r="AK109" s="62" t="n">
        <v>90.3600000000001</v>
      </c>
      <c r="AL109" s="62" t="n">
        <v>79.31999999999995</v>
      </c>
      <c r="AM109" s="62" t="n">
        <v>70.36000000000014</v>
      </c>
      <c r="AN109" s="62" t="n">
        <v>61.08</v>
      </c>
    </row>
    <row r="110" ht="19" customHeight="1">
      <c r="A110" s="19" t="inlineStr">
        <is>
          <t>2023-09-01</t>
        </is>
      </c>
      <c r="B110" s="62" t="n">
        <v>279.7364449404936</v>
      </c>
      <c r="C110" s="62" t="n">
        <v>143.0190018748217</v>
      </c>
      <c r="D110" s="62" t="n">
        <v>135.7664292938543</v>
      </c>
      <c r="E110" s="62" t="n">
        <v>308.4885328072551</v>
      </c>
      <c r="F110" s="62" t="n">
        <v>52.40431705863788</v>
      </c>
      <c r="G110" s="62" t="n">
        <v>134.7696569324704</v>
      </c>
      <c r="H110" s="62" t="n">
        <v>476.3702993526754</v>
      </c>
      <c r="I110" s="62" t="n">
        <v>64.60737578123617</v>
      </c>
      <c r="J110" s="62" t="n">
        <v>204.426605774034</v>
      </c>
      <c r="K110" s="62" t="n">
        <v>106.5132645087016</v>
      </c>
      <c r="L110" s="62" t="n">
        <v>129.56</v>
      </c>
      <c r="M110" s="62" t="n">
        <v>21.14000000000001</v>
      </c>
      <c r="N110" s="62" t="n">
        <v>135.48</v>
      </c>
      <c r="O110" s="62" t="n">
        <v>352.1244835608467</v>
      </c>
      <c r="P110" s="62" t="n">
        <v>44.71999999999993</v>
      </c>
      <c r="Q110" s="62" t="n">
        <v>412.2662224593099</v>
      </c>
      <c r="R110" s="62" t="n">
        <v>168.8999391576328</v>
      </c>
      <c r="S110" s="62" t="n">
        <v>49.66999999999994</v>
      </c>
      <c r="T110" s="62" t="n">
        <v>145.9300000000003</v>
      </c>
      <c r="U110" s="62" t="n">
        <v>43.42000000000004</v>
      </c>
      <c r="V110" s="62" t="n">
        <v>27.35763301173985</v>
      </c>
      <c r="W110" s="62" t="n">
        <v>90.97999999999995</v>
      </c>
      <c r="X110" s="62" t="n">
        <v>94.49999999999991</v>
      </c>
      <c r="Y110" s="62" t="n">
        <v>526.1800000000001</v>
      </c>
      <c r="Z110" s="62" t="n">
        <v>25.47660295558613</v>
      </c>
      <c r="AA110" s="62" t="n">
        <v>607.7999999999996</v>
      </c>
      <c r="AB110" s="62" t="n">
        <v>144.08</v>
      </c>
      <c r="AC110" s="62" t="n">
        <v>51.3390081208141</v>
      </c>
      <c r="AD110" s="62" t="n">
        <v>152.0499999999998</v>
      </c>
      <c r="AE110" s="62" t="n">
        <v>51.66000000000005</v>
      </c>
      <c r="AF110" s="62" t="n">
        <v>148.74</v>
      </c>
      <c r="AG110" s="62" t="n">
        <v>110.2299999999999</v>
      </c>
      <c r="AH110" s="62" t="n">
        <v>53.97000000000003</v>
      </c>
      <c r="AI110" s="62" t="n">
        <v>245.0399999999997</v>
      </c>
      <c r="AJ110" s="62" t="n">
        <v>89.15999999999993</v>
      </c>
      <c r="AK110" s="62" t="n">
        <v>84.6400000000001</v>
      </c>
      <c r="AL110" s="62" t="n">
        <v>78.83999999999996</v>
      </c>
      <c r="AM110" s="62" t="n">
        <v>67.51000000000013</v>
      </c>
      <c r="AN110" s="62" t="n">
        <v>58.36</v>
      </c>
    </row>
    <row r="111" ht="19" customHeight="1">
      <c r="A111" s="19" t="inlineStr">
        <is>
          <t>2023-10-01</t>
        </is>
      </c>
      <c r="B111" s="62" t="n">
        <v>263.558385537637</v>
      </c>
      <c r="C111" s="62" t="n">
        <v>136.2185738435737</v>
      </c>
      <c r="D111" s="62" t="n">
        <v>131.1462105008548</v>
      </c>
      <c r="E111" s="62" t="n">
        <v>330.3363042380814</v>
      </c>
      <c r="F111" s="62" t="n">
        <v>53.32421730084255</v>
      </c>
      <c r="G111" s="62" t="n">
        <v>139.499995885354</v>
      </c>
      <c r="H111" s="62" t="n">
        <v>506.0090736191656</v>
      </c>
      <c r="I111" s="62" t="n">
        <v>62.73056196001547</v>
      </c>
      <c r="J111" s="62" t="n">
        <v>199.0166955982403</v>
      </c>
      <c r="K111" s="62" t="n">
        <v>95.89592952576172</v>
      </c>
      <c r="L111" s="62" t="n">
        <v>126.14</v>
      </c>
      <c r="M111" s="62" t="n">
        <v>20.34000000000001</v>
      </c>
      <c r="N111" s="62" t="n">
        <v>129.88</v>
      </c>
      <c r="O111" s="62" t="n">
        <v>344.8549198812875</v>
      </c>
      <c r="P111" s="62" t="n">
        <v>43.93999999999993</v>
      </c>
      <c r="Q111" s="62" t="n">
        <v>403.3160873722027</v>
      </c>
      <c r="R111" s="62" t="n">
        <v>168.4699902241863</v>
      </c>
      <c r="S111" s="62" t="n">
        <v>48.50999999999993</v>
      </c>
      <c r="T111" s="62" t="n">
        <v>131.5200000000003</v>
      </c>
      <c r="U111" s="62" t="n">
        <v>40.70000000000003</v>
      </c>
      <c r="V111" s="62" t="n">
        <v>25.20703297608205</v>
      </c>
      <c r="W111" s="62" t="n">
        <v>89.30999999999995</v>
      </c>
      <c r="X111" s="62" t="n">
        <v>94.27999999999992</v>
      </c>
      <c r="Y111" s="62" t="n">
        <v>542.6400000000001</v>
      </c>
      <c r="Z111" s="62" t="n">
        <v>24.50673227792057</v>
      </c>
      <c r="AA111" s="62" t="n">
        <v>575.6399999999996</v>
      </c>
      <c r="AB111" s="62" t="n">
        <v>141.61</v>
      </c>
      <c r="AC111" s="62" t="n">
        <v>51.808907513546</v>
      </c>
      <c r="AD111" s="62" t="n">
        <v>146.5199999999998</v>
      </c>
      <c r="AE111" s="62" t="n">
        <v>52.78000000000006</v>
      </c>
      <c r="AF111" s="62" t="n">
        <v>128.55</v>
      </c>
      <c r="AG111" s="62" t="n">
        <v>109.3099999999999</v>
      </c>
      <c r="AH111" s="62" t="n">
        <v>51.53000000000004</v>
      </c>
      <c r="AI111" s="62" t="n">
        <v>243.8599999999997</v>
      </c>
      <c r="AJ111" s="62" t="n">
        <v>95.81999999999992</v>
      </c>
      <c r="AK111" s="62" t="n">
        <v>85.54000000000011</v>
      </c>
      <c r="AL111" s="62" t="n">
        <v>79.39999999999996</v>
      </c>
      <c r="AM111" s="62" t="n">
        <v>67.79000000000013</v>
      </c>
      <c r="AN111" s="62" t="n">
        <v>60.69</v>
      </c>
    </row>
    <row r="112" ht="19" customHeight="1">
      <c r="A112" s="19" t="inlineStr">
        <is>
          <t>2023-11-01</t>
        </is>
      </c>
      <c r="B112" s="62" t="n">
        <v>292.1749529115403</v>
      </c>
      <c r="C112" s="62" t="n">
        <v>143.1590106872298</v>
      </c>
      <c r="D112" s="62" t="n">
        <v>147.1969705934179</v>
      </c>
      <c r="E112" s="62" t="n">
        <v>370.9521612412926</v>
      </c>
      <c r="F112" s="62" t="n">
        <v>53.95414898843922</v>
      </c>
      <c r="G112" s="62" t="n">
        <v>142.7402280644962</v>
      </c>
      <c r="H112" s="62" t="n">
        <v>522.4583933453387</v>
      </c>
      <c r="I112" s="62" t="n">
        <v>65.97248583417117</v>
      </c>
      <c r="J112" s="62" t="n">
        <v>217.7563844511747</v>
      </c>
      <c r="K112" s="62" t="n">
        <v>93.92642388391695</v>
      </c>
      <c r="L112" s="62" t="n">
        <v>134.56</v>
      </c>
      <c r="M112" s="62" t="n">
        <v>21.62000000000002</v>
      </c>
      <c r="N112" s="62" t="n">
        <v>141.8</v>
      </c>
      <c r="O112" s="62" t="n">
        <v>382.1613620610034</v>
      </c>
      <c r="P112" s="62" t="n">
        <v>49.03999999999993</v>
      </c>
      <c r="Q112" s="62" t="n">
        <v>440.1566434179044</v>
      </c>
      <c r="R112" s="62" t="n">
        <v>187.6377136059754</v>
      </c>
      <c r="S112" s="62" t="n">
        <v>45.01999999999994</v>
      </c>
      <c r="T112" s="62" t="n">
        <v>141.4300000000003</v>
      </c>
      <c r="U112" s="62" t="n">
        <v>46.68000000000003</v>
      </c>
      <c r="V112" s="62" t="n">
        <v>25.46710553853369</v>
      </c>
      <c r="W112" s="62" t="n">
        <v>98.50999999999995</v>
      </c>
      <c r="X112" s="62" t="n">
        <v>94.06999999999991</v>
      </c>
      <c r="Y112" s="62" t="n">
        <v>580.0600000000001</v>
      </c>
      <c r="Z112" s="62" t="n">
        <v>28.59618699096402</v>
      </c>
      <c r="AA112" s="62" t="n">
        <v>706.2699999999996</v>
      </c>
      <c r="AB112" s="62" t="n">
        <v>165.6</v>
      </c>
      <c r="AC112" s="62" t="n">
        <v>54.01843444532788</v>
      </c>
      <c r="AD112" s="62" t="n">
        <v>152.1699999999998</v>
      </c>
      <c r="AE112" s="62" t="n">
        <v>50.29000000000006</v>
      </c>
      <c r="AF112" s="62" t="n">
        <v>128</v>
      </c>
      <c r="AG112" s="62" t="n">
        <v>106.8799999999999</v>
      </c>
      <c r="AH112" s="62" t="n">
        <v>48.18000000000004</v>
      </c>
      <c r="AI112" s="62" t="n">
        <v>263.7199999999997</v>
      </c>
      <c r="AJ112" s="62" t="n">
        <v>102.8199999999999</v>
      </c>
      <c r="AK112" s="62" t="n">
        <v>92.5900000000001</v>
      </c>
      <c r="AL112" s="62" t="n">
        <v>83.37999999999995</v>
      </c>
      <c r="AM112" s="62" t="n">
        <v>72.20000000000014</v>
      </c>
      <c r="AN112" s="62" t="n">
        <v>64.65000000000001</v>
      </c>
    </row>
    <row r="113" ht="19" customHeight="1">
      <c r="A113" s="19" t="inlineStr">
        <is>
          <t>2023-12-01</t>
        </is>
      </c>
      <c r="B113" s="62" t="n">
        <v>322.9812576211826</v>
      </c>
      <c r="C113" s="62" t="n">
        <v>145.0791315431116</v>
      </c>
      <c r="D113" s="62" t="n">
        <v>160.4175966634294</v>
      </c>
      <c r="E113" s="62" t="n">
        <v>368.1424478444678</v>
      </c>
      <c r="F113" s="62" t="n">
        <v>56.01392561772359</v>
      </c>
      <c r="G113" s="62" t="n">
        <v>136.2497629896095</v>
      </c>
      <c r="H113" s="62" t="n">
        <v>499.1193585484465</v>
      </c>
      <c r="I113" s="62" t="n">
        <v>68.13750177776815</v>
      </c>
      <c r="J113" s="62" t="n">
        <v>229.286193014373</v>
      </c>
      <c r="K113" s="62" t="n">
        <v>91.39705877027875</v>
      </c>
      <c r="L113" s="62" t="n">
        <v>141.41</v>
      </c>
      <c r="M113" s="62" t="n">
        <v>22.98000000000002</v>
      </c>
      <c r="N113" s="62" t="n">
        <v>151.4699999999999</v>
      </c>
      <c r="O113" s="62" t="n">
        <v>403.510712537511</v>
      </c>
      <c r="P113" s="62" t="n">
        <v>51.15999999999992</v>
      </c>
      <c r="Q113" s="62" t="n">
        <v>460.2469466469529</v>
      </c>
      <c r="R113" s="62" t="n">
        <v>190.1874107694372</v>
      </c>
      <c r="S113" s="62" t="n">
        <v>47.00999999999993</v>
      </c>
      <c r="T113" s="62" t="n">
        <v>157.8700000000003</v>
      </c>
      <c r="U113" s="62" t="n">
        <v>49.43000000000004</v>
      </c>
      <c r="V113" s="62" t="n">
        <v>24.06671481764024</v>
      </c>
      <c r="W113" s="62" t="n">
        <v>103.9699999999999</v>
      </c>
      <c r="X113" s="62" t="n">
        <v>100.7999999999999</v>
      </c>
      <c r="Y113" s="62" t="n">
        <v>572.0900000000001</v>
      </c>
      <c r="Z113" s="62" t="n">
        <v>31.57578969142111</v>
      </c>
      <c r="AA113" s="62" t="n">
        <v>768.3099999999996</v>
      </c>
      <c r="AB113" s="62" t="n">
        <v>181.6699999999999</v>
      </c>
      <c r="AC113" s="62" t="n">
        <v>54.47833597863994</v>
      </c>
      <c r="AD113" s="62" t="n">
        <v>153.5699999999998</v>
      </c>
      <c r="AE113" s="62" t="n">
        <v>51.11000000000005</v>
      </c>
      <c r="AF113" s="62" t="n">
        <v>132.95</v>
      </c>
      <c r="AG113" s="62" t="n">
        <v>107.3499999999999</v>
      </c>
      <c r="AH113" s="62" t="n">
        <v>48.41000000000003</v>
      </c>
      <c r="AI113" s="62" t="n">
        <v>277.4499999999996</v>
      </c>
      <c r="AJ113" s="62" t="n">
        <v>101.5699999999999</v>
      </c>
      <c r="AK113" s="62" t="n">
        <v>89.5200000000001</v>
      </c>
      <c r="AL113" s="62" t="n">
        <v>87.67999999999996</v>
      </c>
      <c r="AM113" s="62" t="n">
        <v>73.72000000000014</v>
      </c>
      <c r="AN113" s="62" t="n">
        <v>63.87</v>
      </c>
    </row>
    <row r="114" ht="19" customHeight="1">
      <c r="A114" s="19" t="inlineStr">
        <is>
          <t>2024-01-01</t>
        </is>
      </c>
      <c r="B114" s="62" t="n">
        <v>328.9605403918305</v>
      </c>
      <c r="C114" s="62" t="n">
        <v>147.0792574346551</v>
      </c>
      <c r="D114" s="62" t="n">
        <v>165.4478348731236</v>
      </c>
      <c r="E114" s="62" t="n">
        <v>389.2302967907435</v>
      </c>
      <c r="F114" s="62" t="n">
        <v>54.06413706087673</v>
      </c>
      <c r="G114" s="62" t="n">
        <v>147.030535486879</v>
      </c>
      <c r="H114" s="62" t="n">
        <v>485.1599358507338</v>
      </c>
      <c r="I114" s="62" t="n">
        <v>68.46500418955938</v>
      </c>
      <c r="J114" s="62" t="n">
        <v>231.8461505097578</v>
      </c>
      <c r="K114" s="62" t="n">
        <v>93.9864088273234</v>
      </c>
      <c r="L114" s="62" t="n">
        <v>142.64</v>
      </c>
      <c r="M114" s="62" t="n">
        <v>23.01000000000002</v>
      </c>
      <c r="N114" s="62" t="n">
        <v>150.1899999999999</v>
      </c>
      <c r="O114" s="62" t="n">
        <v>410.8501758678353</v>
      </c>
      <c r="P114" s="62" t="n">
        <v>52.25999999999991</v>
      </c>
      <c r="Q114" s="62" t="n">
        <v>467.5770572825391</v>
      </c>
      <c r="R114" s="62" t="n">
        <v>182.158364407634</v>
      </c>
      <c r="S114" s="62" t="n">
        <v>47.05999999999993</v>
      </c>
      <c r="T114" s="62" t="n">
        <v>149.4600000000003</v>
      </c>
      <c r="U114" s="62" t="n">
        <v>61.42000000000004</v>
      </c>
      <c r="V114" s="62" t="n">
        <v>22.97641061351606</v>
      </c>
      <c r="W114" s="62" t="n">
        <v>107.3999999999999</v>
      </c>
      <c r="X114" s="62" t="n">
        <v>111.6799999999999</v>
      </c>
      <c r="Y114" s="62" t="n">
        <v>633.6100000000001</v>
      </c>
      <c r="Z114" s="62" t="n">
        <v>31.89574702838294</v>
      </c>
      <c r="AA114" s="62" t="n">
        <v>732.8299999999997</v>
      </c>
      <c r="AB114" s="62" t="n">
        <v>195.2999999999999</v>
      </c>
      <c r="AC114" s="62" t="n">
        <v>54.98822680905113</v>
      </c>
      <c r="AD114" s="62" t="n">
        <v>152.3899999999998</v>
      </c>
      <c r="AE114" s="62" t="n">
        <v>53.57000000000006</v>
      </c>
      <c r="AF114" s="62" t="n">
        <v>131.41</v>
      </c>
      <c r="AG114" s="62" t="n">
        <v>103.4599999999999</v>
      </c>
      <c r="AH114" s="62" t="n">
        <v>45.30000000000003</v>
      </c>
      <c r="AI114" s="62" t="n">
        <v>273.8999999999996</v>
      </c>
      <c r="AJ114" s="62" t="n">
        <v>94.98999999999991</v>
      </c>
      <c r="AK114" s="62" t="n">
        <v>86.74000000000009</v>
      </c>
      <c r="AL114" s="62" t="n">
        <v>86.58999999999996</v>
      </c>
      <c r="AM114" s="62" t="n">
        <v>70.92000000000014</v>
      </c>
      <c r="AN114" s="62" t="n">
        <v>63.32</v>
      </c>
    </row>
    <row r="115" ht="19" customHeight="1">
      <c r="A115" s="19" t="inlineStr">
        <is>
          <t>2024-02-01</t>
        </is>
      </c>
      <c r="B115" s="62" t="n">
        <v>354.7274495890873</v>
      </c>
      <c r="C115" s="62" t="n">
        <v>150.5094733386524</v>
      </c>
      <c r="D115" s="62" t="n">
        <v>176.5583610181938</v>
      </c>
      <c r="E115" s="62" t="n">
        <v>405.6986169493572</v>
      </c>
      <c r="F115" s="62" t="n">
        <v>51.35443091264341</v>
      </c>
      <c r="G115" s="62" t="n">
        <v>148.7106558760638</v>
      </c>
      <c r="H115" s="62" t="n">
        <v>467.9606471400849</v>
      </c>
      <c r="I115" s="62" t="n">
        <v>70.43481869565515</v>
      </c>
      <c r="J115" s="62" t="n">
        <v>244.1359464543984</v>
      </c>
      <c r="K115" s="62" t="n">
        <v>96.43579401641969</v>
      </c>
      <c r="L115" s="62" t="n">
        <v>147.4</v>
      </c>
      <c r="M115" s="62" t="n">
        <v>23.44000000000002</v>
      </c>
      <c r="N115" s="62" t="n">
        <v>156.2599999999999</v>
      </c>
      <c r="O115" s="62" t="n">
        <v>432.5590102625629</v>
      </c>
      <c r="P115" s="62" t="n">
        <v>55.94999999999991</v>
      </c>
      <c r="Q115" s="62" t="n">
        <v>491.9774255647086</v>
      </c>
      <c r="R115" s="62" t="n">
        <v>178.7787658144964</v>
      </c>
      <c r="S115" s="62" t="n">
        <v>45.35999999999993</v>
      </c>
      <c r="T115" s="62" t="n">
        <v>156.2000000000003</v>
      </c>
      <c r="U115" s="62" t="n">
        <v>78.97000000000006</v>
      </c>
      <c r="V115" s="62" t="n">
        <v>22.53628781552097</v>
      </c>
      <c r="W115" s="62" t="n">
        <v>112.61</v>
      </c>
      <c r="X115" s="62" t="n">
        <v>117.5599999999999</v>
      </c>
      <c r="Y115" s="62" t="n">
        <v>740.9700000000001</v>
      </c>
      <c r="Z115" s="62" t="n">
        <v>32.60565236976701</v>
      </c>
      <c r="AA115" s="62" t="n">
        <v>767.8699999999997</v>
      </c>
      <c r="AB115" s="62" t="n">
        <v>213.4699999999999</v>
      </c>
      <c r="AC115" s="62" t="n">
        <v>55.47812192062268</v>
      </c>
      <c r="AD115" s="62" t="n">
        <v>150.6399999999998</v>
      </c>
      <c r="AE115" s="62" t="n">
        <v>57.00000000000006</v>
      </c>
      <c r="AF115" s="62" t="n">
        <v>136.97</v>
      </c>
      <c r="AG115" s="62" t="n">
        <v>104.6299999999999</v>
      </c>
      <c r="AH115" s="62" t="n">
        <v>45.21000000000004</v>
      </c>
      <c r="AI115" s="62" t="n">
        <v>275.0499999999997</v>
      </c>
      <c r="AJ115" s="62" t="n">
        <v>97.2299999999999</v>
      </c>
      <c r="AK115" s="62" t="n">
        <v>89.0200000000001</v>
      </c>
      <c r="AL115" s="62" t="n">
        <v>83.91999999999996</v>
      </c>
      <c r="AM115" s="62" t="n">
        <v>78.21000000000015</v>
      </c>
      <c r="AN115" s="62" t="n">
        <v>61.9</v>
      </c>
    </row>
    <row r="116" ht="19" customHeight="1">
      <c r="A116" s="19" t="inlineStr">
        <is>
          <t>2024-03-01</t>
        </is>
      </c>
      <c r="B116" s="62" t="n">
        <v>359.6568582946548</v>
      </c>
      <c r="C116" s="62" t="n">
        <v>147.5292857602525</v>
      </c>
      <c r="D116" s="62" t="n">
        <v>190.0690008219649</v>
      </c>
      <c r="E116" s="62" t="n">
        <v>412.6479080909702</v>
      </c>
      <c r="F116" s="62" t="n">
        <v>59.47355044166725</v>
      </c>
      <c r="G116" s="62" t="n">
        <v>151.810878022774</v>
      </c>
      <c r="H116" s="62" t="n">
        <v>470.8505276269323</v>
      </c>
      <c r="I116" s="62" t="n">
        <v>72.81093619384491</v>
      </c>
      <c r="J116" s="62" t="n">
        <v>252.0958142916107</v>
      </c>
      <c r="K116" s="62" t="n">
        <v>107.2530788107143</v>
      </c>
      <c r="L116" s="62" t="n">
        <v>155.02</v>
      </c>
      <c r="M116" s="62" t="n">
        <v>24.53000000000002</v>
      </c>
      <c r="N116" s="62" t="n">
        <v>163.2599999999999</v>
      </c>
      <c r="O116" s="62" t="n">
        <v>438.0710970086022</v>
      </c>
      <c r="P116" s="62" t="n">
        <v>56.70999999999991</v>
      </c>
      <c r="Q116" s="62" t="n">
        <v>508.067668419631</v>
      </c>
      <c r="R116" s="62" t="n">
        <v>169.6098548384398</v>
      </c>
      <c r="S116" s="62" t="n">
        <v>46.80999999999993</v>
      </c>
      <c r="T116" s="62" t="n">
        <v>162.6200000000003</v>
      </c>
      <c r="U116" s="62" t="n">
        <v>90.20000000000006</v>
      </c>
      <c r="V116" s="62" t="n">
        <v>23.54656969273696</v>
      </c>
      <c r="W116" s="62" t="n">
        <v>107.88</v>
      </c>
      <c r="X116" s="62" t="n">
        <v>122.7799999999999</v>
      </c>
      <c r="Y116" s="62" t="n">
        <v>764.8400000000001</v>
      </c>
      <c r="Z116" s="62" t="n">
        <v>35.81522440616543</v>
      </c>
      <c r="AA116" s="62" t="n">
        <v>793.9299999999996</v>
      </c>
      <c r="AB116" s="62" t="n">
        <v>221.5099999999998</v>
      </c>
      <c r="AC116" s="62" t="n">
        <v>57.0077944118563</v>
      </c>
      <c r="AD116" s="62" t="n">
        <v>159.4499999999998</v>
      </c>
      <c r="AE116" s="62" t="n">
        <v>58.72000000000006</v>
      </c>
      <c r="AF116" s="62" t="n">
        <v>142.13</v>
      </c>
      <c r="AG116" s="62" t="n">
        <v>118.3399999999999</v>
      </c>
      <c r="AH116" s="62" t="n">
        <v>51.28000000000004</v>
      </c>
      <c r="AI116" s="62" t="n">
        <v>265.3299999999996</v>
      </c>
      <c r="AJ116" s="62" t="n">
        <v>88.2399999999999</v>
      </c>
      <c r="AK116" s="62" t="n">
        <v>85.7300000000001</v>
      </c>
      <c r="AL116" s="62" t="n">
        <v>88.37999999999995</v>
      </c>
      <c r="AM116" s="62" t="n">
        <v>79.05000000000015</v>
      </c>
      <c r="AN116" s="62" t="n">
        <v>66.04000000000001</v>
      </c>
    </row>
    <row r="117" ht="19" customHeight="1">
      <c r="A117" s="19" t="inlineStr">
        <is>
          <t>2024-04-01</t>
        </is>
      </c>
      <c r="B117" s="62" t="n">
        <v>313.3524126243032</v>
      </c>
      <c r="C117" s="62" t="n">
        <v>134.8484876078663</v>
      </c>
      <c r="D117" s="62" t="n">
        <v>183.0086664759527</v>
      </c>
      <c r="E117" s="62" t="n">
        <v>381.8610484866159</v>
      </c>
      <c r="F117" s="62" t="n">
        <v>62.31324249369037</v>
      </c>
      <c r="G117" s="62" t="n">
        <v>153.6910127440046</v>
      </c>
      <c r="H117" s="62" t="n">
        <v>460.3809606036478</v>
      </c>
      <c r="I117" s="62" t="n">
        <v>70.26041741133031</v>
      </c>
      <c r="J117" s="62" t="n">
        <v>241.1359962644943</v>
      </c>
      <c r="K117" s="62" t="n">
        <v>109.1326070374494</v>
      </c>
      <c r="L117" s="62" t="n">
        <v>148.96</v>
      </c>
      <c r="M117" s="62" t="n">
        <v>23.42000000000002</v>
      </c>
      <c r="N117" s="62" t="n">
        <v>155.3799999999999</v>
      </c>
      <c r="O117" s="62" t="n">
        <v>418.9185926989943</v>
      </c>
      <c r="P117" s="62" t="n">
        <v>54.33999999999992</v>
      </c>
      <c r="Q117" s="62" t="n">
        <v>487.5873593041051</v>
      </c>
      <c r="R117" s="62" t="n">
        <v>168.4699902241863</v>
      </c>
      <c r="S117" s="62" t="n">
        <v>44.41999999999994</v>
      </c>
      <c r="T117" s="62" t="n">
        <v>164.6800000000003</v>
      </c>
      <c r="U117" s="62" t="n">
        <v>86.25000000000006</v>
      </c>
      <c r="V117" s="62" t="n">
        <v>21.736064546439</v>
      </c>
      <c r="W117" s="62" t="n">
        <v>101.08</v>
      </c>
      <c r="X117" s="62" t="n">
        <v>120.2399999999999</v>
      </c>
      <c r="Y117" s="62" t="n">
        <v>767.9299999999999</v>
      </c>
      <c r="Z117" s="62" t="n">
        <v>34.95533906308049</v>
      </c>
      <c r="AA117" s="62" t="n">
        <v>718.6399999999998</v>
      </c>
      <c r="AB117" s="62" t="n">
        <v>228.3899999999998</v>
      </c>
      <c r="AC117" s="62" t="n">
        <v>57.5576766799468</v>
      </c>
      <c r="AD117" s="62" t="n">
        <v>160.2699999999998</v>
      </c>
      <c r="AE117" s="62" t="n">
        <v>57.92000000000006</v>
      </c>
      <c r="AF117" s="62" t="n">
        <v>145.31</v>
      </c>
      <c r="AG117" s="62" t="n">
        <v>116.7999999999999</v>
      </c>
      <c r="AH117" s="62" t="n">
        <v>44.42000000000003</v>
      </c>
      <c r="AI117" s="62" t="n">
        <v>256.9399999999997</v>
      </c>
      <c r="AJ117" s="62" t="n">
        <v>86.61999999999991</v>
      </c>
      <c r="AK117" s="62" t="n">
        <v>83.0100000000001</v>
      </c>
      <c r="AL117" s="62" t="n">
        <v>89.78999999999996</v>
      </c>
      <c r="AM117" s="62" t="n">
        <v>78.98000000000016</v>
      </c>
      <c r="AN117" s="62" t="n">
        <v>67.66</v>
      </c>
    </row>
    <row r="118" ht="19" customHeight="1">
      <c r="A118" s="19" t="inlineStr">
        <is>
          <t>2024-05-01</t>
        </is>
      </c>
      <c r="B118" s="62" t="n">
        <v>316.1520767978507</v>
      </c>
      <c r="C118" s="62" t="n">
        <v>137.8986795924702</v>
      </c>
      <c r="D118" s="62" t="n">
        <v>193.3991585234125</v>
      </c>
      <c r="E118" s="62" t="n">
        <v>407.8983925625297</v>
      </c>
      <c r="F118" s="62" t="n">
        <v>74.46192504019773</v>
      </c>
      <c r="G118" s="62" t="n">
        <v>154.9511030358933</v>
      </c>
      <c r="H118" s="62" t="n">
        <v>471.4905011603518</v>
      </c>
      <c r="I118" s="62" t="n">
        <v>72.05503062720983</v>
      </c>
      <c r="J118" s="62" t="n">
        <v>252.6158056578608</v>
      </c>
      <c r="K118" s="62" t="n">
        <v>109.072622094043</v>
      </c>
      <c r="L118" s="62" t="n">
        <v>153.42</v>
      </c>
      <c r="M118" s="62" t="n">
        <v>23.90000000000002</v>
      </c>
      <c r="N118" s="62" t="n">
        <v>159.7999999999999</v>
      </c>
      <c r="O118" s="62" t="n">
        <v>444.6816068380915</v>
      </c>
      <c r="P118" s="62" t="n">
        <v>57.77999999999991</v>
      </c>
      <c r="Q118" s="62" t="n">
        <v>512.2477315105928</v>
      </c>
      <c r="R118" s="62" t="n">
        <v>190.417383454769</v>
      </c>
      <c r="S118" s="62" t="n">
        <v>43.95999999999994</v>
      </c>
      <c r="T118" s="62" t="n">
        <v>183.3400000000003</v>
      </c>
      <c r="U118" s="62" t="n">
        <v>109.4400000000001</v>
      </c>
      <c r="V118" s="62" t="n">
        <v>24.68688785117877</v>
      </c>
      <c r="W118" s="62" t="n">
        <v>97.47999999999996</v>
      </c>
      <c r="X118" s="62" t="n">
        <v>116.8099999999999</v>
      </c>
      <c r="Y118" s="62" t="n">
        <v>807.88</v>
      </c>
      <c r="Z118" s="62" t="n">
        <v>37.77496309505667</v>
      </c>
      <c r="AA118" s="62" t="n">
        <v>735.1999999999998</v>
      </c>
      <c r="AB118" s="62" t="n">
        <v>234.2099999999998</v>
      </c>
      <c r="AC118" s="62" t="n">
        <v>58.63744549728817</v>
      </c>
      <c r="AD118" s="62" t="n">
        <v>157.5299999999997</v>
      </c>
      <c r="AE118" s="62" t="n">
        <v>64.40000000000006</v>
      </c>
      <c r="AF118" s="62" t="n">
        <v>147.72</v>
      </c>
      <c r="AG118" s="62" t="n">
        <v>108.8099999999999</v>
      </c>
      <c r="AH118" s="62" t="n">
        <v>42.93000000000003</v>
      </c>
      <c r="AI118" s="62" t="n">
        <v>243.6299999999997</v>
      </c>
      <c r="AJ118" s="62" t="n">
        <v>89.23999999999988</v>
      </c>
      <c r="AK118" s="62" t="n">
        <v>75.82000000000008</v>
      </c>
      <c r="AL118" s="62" t="n">
        <v>95.58999999999995</v>
      </c>
      <c r="AM118" s="62" t="n">
        <v>83.67000000000017</v>
      </c>
      <c r="AN118" s="62" t="n">
        <v>74.44</v>
      </c>
    </row>
    <row r="119" ht="19" customHeight="1">
      <c r="A119" s="19" t="inlineStr">
        <is>
          <t>2024-06-01</t>
        </is>
      </c>
      <c r="B119" s="62" t="n">
        <v>324.9910165457649</v>
      </c>
      <c r="C119" s="62" t="n">
        <v>137.4186493784998</v>
      </c>
      <c r="D119" s="62" t="n">
        <v>193.0491419481853</v>
      </c>
      <c r="E119" s="62" t="n">
        <v>439.1652032097579</v>
      </c>
      <c r="F119" s="62" t="n">
        <v>66.32280767982161</v>
      </c>
      <c r="G119" s="62" t="n">
        <v>155.3111288335757</v>
      </c>
      <c r="H119" s="62" t="n">
        <v>486.7598696842825</v>
      </c>
      <c r="I119" s="62" t="n">
        <v>72.46943367895422</v>
      </c>
      <c r="J119" s="62" t="n">
        <v>260.3956764836789</v>
      </c>
      <c r="K119" s="62" t="n">
        <v>107.0831214710627</v>
      </c>
      <c r="L119" s="62" t="n">
        <v>153.65</v>
      </c>
      <c r="M119" s="62" t="n">
        <v>23.90000000000002</v>
      </c>
      <c r="N119" s="62" t="n">
        <v>158.9799999999999</v>
      </c>
      <c r="O119" s="62" t="n">
        <v>473.4602916244784</v>
      </c>
      <c r="P119" s="62" t="n">
        <v>61.69999999999991</v>
      </c>
      <c r="Q119" s="62" t="n">
        <v>530.3180042507075</v>
      </c>
      <c r="R119" s="62" t="n">
        <v>208.6052232207964</v>
      </c>
      <c r="S119" s="62" t="n">
        <v>44.91999999999993</v>
      </c>
      <c r="T119" s="62" t="n">
        <v>182.8900000000003</v>
      </c>
      <c r="U119" s="62" t="n">
        <v>123.3400000000001</v>
      </c>
      <c r="V119" s="62" t="n">
        <v>24.09672319023081</v>
      </c>
      <c r="W119" s="62" t="n">
        <v>99.11999999999996</v>
      </c>
      <c r="X119" s="62" t="n">
        <v>115.8799999999999</v>
      </c>
      <c r="Y119" s="62" t="n">
        <v>891.63</v>
      </c>
      <c r="Z119" s="62" t="n">
        <v>37.79496042861678</v>
      </c>
      <c r="AA119" s="62" t="n">
        <v>754.7099999999998</v>
      </c>
      <c r="AB119" s="62" t="n">
        <v>225.9699999999999</v>
      </c>
      <c r="AC119" s="62" t="n">
        <v>59.76720361172868</v>
      </c>
      <c r="AD119" s="62" t="n">
        <v>151.4599999999998</v>
      </c>
      <c r="AE119" s="62" t="n">
        <v>66.31000000000006</v>
      </c>
      <c r="AF119" s="62" t="n">
        <v>142.37</v>
      </c>
      <c r="AG119" s="62" t="n">
        <v>106.8499999999999</v>
      </c>
      <c r="AH119" s="62" t="n">
        <v>44.42000000000003</v>
      </c>
      <c r="AI119" s="62" t="n">
        <v>241.3699999999997</v>
      </c>
      <c r="AJ119" s="62" t="n">
        <v>71.03999999999992</v>
      </c>
      <c r="AK119" s="62" t="n">
        <v>73.58000000000008</v>
      </c>
      <c r="AL119" s="62" t="n">
        <v>92.50999999999995</v>
      </c>
      <c r="AM119" s="62" t="n">
        <v>81.35000000000016</v>
      </c>
      <c r="AN119" s="62" t="n">
        <v>72.06</v>
      </c>
    </row>
    <row r="120" ht="19" customHeight="1">
      <c r="A120" s="19" t="inlineStr">
        <is>
          <t>2024-07-01</t>
        </is>
      </c>
      <c r="B120" s="62" t="n">
        <v>347.5783071459214</v>
      </c>
      <c r="C120" s="62" t="n">
        <v>148.4093411525316</v>
      </c>
      <c r="D120" s="62" t="n">
        <v>204.2296714083009</v>
      </c>
      <c r="E120" s="62" t="n">
        <v>411.0580702614501</v>
      </c>
      <c r="F120" s="62" t="n">
        <v>71.54224166276551</v>
      </c>
      <c r="G120" s="62" t="n">
        <v>152.3009131362862</v>
      </c>
      <c r="H120" s="62" t="n">
        <v>550.7072250939335</v>
      </c>
      <c r="I120" s="62" t="n">
        <v>74.49494859523861</v>
      </c>
      <c r="J120" s="62" t="n">
        <v>265.3155947951217</v>
      </c>
      <c r="K120" s="62" t="n">
        <v>110.3123109244427</v>
      </c>
      <c r="L120" s="62" t="n">
        <v>160.93</v>
      </c>
      <c r="M120" s="62" t="n">
        <v>25.39000000000002</v>
      </c>
      <c r="N120" s="62" t="n">
        <v>166.0699999999999</v>
      </c>
      <c r="O120" s="62" t="n">
        <v>465.5117027660592</v>
      </c>
      <c r="P120" s="62" t="n">
        <v>60.58999999999991</v>
      </c>
      <c r="Q120" s="62" t="n">
        <v>536.7381011511801</v>
      </c>
      <c r="R120" s="62" t="n">
        <v>219.9538753013027</v>
      </c>
      <c r="S120" s="62" t="n">
        <v>46.19999999999993</v>
      </c>
      <c r="T120" s="62" t="n">
        <v>192.8700000000003</v>
      </c>
      <c r="U120" s="62" t="n">
        <v>116.8300000000001</v>
      </c>
      <c r="V120" s="62" t="n">
        <v>26.67744323302017</v>
      </c>
      <c r="W120" s="62" t="n">
        <v>101.59</v>
      </c>
      <c r="X120" s="62" t="n">
        <v>105.8999999999999</v>
      </c>
      <c r="Y120" s="62" t="n">
        <v>792.0600000000001</v>
      </c>
      <c r="Z120" s="62" t="n">
        <v>38.30489243439971</v>
      </c>
      <c r="AA120" s="62" t="n">
        <v>840.1999999999997</v>
      </c>
      <c r="AB120" s="62" t="n">
        <v>247.6699999999998</v>
      </c>
      <c r="AC120" s="62" t="n">
        <v>62.66658284347865</v>
      </c>
      <c r="AD120" s="62" t="n">
        <v>158.5599999999997</v>
      </c>
      <c r="AE120" s="62" t="n">
        <v>67.22000000000006</v>
      </c>
      <c r="AF120" s="62" t="n">
        <v>146.05</v>
      </c>
      <c r="AG120" s="62" t="n">
        <v>103.8799999999999</v>
      </c>
      <c r="AH120" s="62" t="n">
        <v>45.46000000000004</v>
      </c>
      <c r="AI120" s="62" t="n">
        <v>251.3799999999996</v>
      </c>
      <c r="AJ120" s="62" t="n">
        <v>70.55999999999992</v>
      </c>
      <c r="AK120" s="62" t="n">
        <v>73.68000000000009</v>
      </c>
      <c r="AL120" s="62" t="n">
        <v>100.8599999999999</v>
      </c>
      <c r="AM120" s="62" t="n">
        <v>90.97000000000018</v>
      </c>
      <c r="AN120" s="62" t="n">
        <v>77.58</v>
      </c>
    </row>
    <row r="121" ht="19" customHeight="1">
      <c r="A121" s="19" t="inlineStr">
        <is>
          <t>2024-08-01</t>
        </is>
      </c>
      <c r="B121" s="62" t="n">
        <v>350.0080156965358</v>
      </c>
      <c r="C121" s="62" t="n">
        <v>157.1198894102037</v>
      </c>
      <c r="D121" s="62" t="n">
        <v>215.7502169700658</v>
      </c>
      <c r="E121" s="62" t="n">
        <v>410.6081161587557</v>
      </c>
      <c r="F121" s="62" t="n">
        <v>75.89176998188543</v>
      </c>
      <c r="G121" s="62" t="n">
        <v>162.5116447872251</v>
      </c>
      <c r="H121" s="62" t="n">
        <v>564.1266701228234</v>
      </c>
      <c r="I121" s="62" t="n">
        <v>75.86445868057629</v>
      </c>
      <c r="J121" s="62" t="n">
        <v>270.9755008200742</v>
      </c>
      <c r="K121" s="62" t="n">
        <v>110.5922406603395</v>
      </c>
      <c r="L121" s="62" t="n">
        <v>165.57</v>
      </c>
      <c r="M121" s="62" t="n">
        <v>25.99000000000002</v>
      </c>
      <c r="N121" s="62" t="n">
        <v>170.1999999999999</v>
      </c>
      <c r="O121" s="62" t="n">
        <v>470.6543199294836</v>
      </c>
      <c r="P121" s="62" t="n">
        <v>61.9599999999999</v>
      </c>
      <c r="Q121" s="62" t="n">
        <v>549.2782904240654</v>
      </c>
      <c r="R121" s="62" t="n">
        <v>227.0730297341842</v>
      </c>
      <c r="S121" s="62" t="n">
        <v>48.18999999999993</v>
      </c>
      <c r="T121" s="62" t="n">
        <v>202.8300000000004</v>
      </c>
      <c r="U121" s="62" t="n">
        <v>119.1700000000001</v>
      </c>
      <c r="V121" s="62" t="n">
        <v>25.33706925730786</v>
      </c>
      <c r="W121" s="62" t="n">
        <v>108.6199999999999</v>
      </c>
      <c r="X121" s="62" t="n">
        <v>110.8799999999999</v>
      </c>
      <c r="Y121" s="62" t="n">
        <v>946.7600000000001</v>
      </c>
      <c r="Z121" s="62" t="n">
        <v>38.72483643916212</v>
      </c>
      <c r="AA121" s="62" t="n">
        <v>864.4599999999998</v>
      </c>
      <c r="AB121" s="62" t="n">
        <v>253.1599999999999</v>
      </c>
      <c r="AC121" s="62" t="n">
        <v>68.05542907076565</v>
      </c>
      <c r="AD121" s="62" t="n">
        <v>158.7599999999997</v>
      </c>
      <c r="AE121" s="62" t="n">
        <v>75.85000000000007</v>
      </c>
      <c r="AF121" s="62" t="n">
        <v>136.16</v>
      </c>
      <c r="AG121" s="62" t="n">
        <v>106.8699999999999</v>
      </c>
      <c r="AH121" s="62" t="n">
        <v>41.42000000000003</v>
      </c>
      <c r="AI121" s="62" t="n">
        <v>273.4099999999996</v>
      </c>
      <c r="AJ121" s="62" t="n">
        <v>78.52999999999992</v>
      </c>
      <c r="AK121" s="62" t="n">
        <v>89.9200000000001</v>
      </c>
      <c r="AL121" s="62" t="n">
        <v>106.1599999999999</v>
      </c>
      <c r="AM121" s="62" t="n">
        <v>93.81000000000019</v>
      </c>
      <c r="AN121" s="62" t="n">
        <v>80.93000000000001</v>
      </c>
    </row>
    <row r="122" ht="19" customHeight="1">
      <c r="A122" s="19" t="inlineStr">
        <is>
          <t>2024-09-01</t>
        </is>
      </c>
      <c r="B122" s="62" t="n">
        <v>384.8738334578219</v>
      </c>
      <c r="C122" s="62" t="n">
        <v>153.5196628054253</v>
      </c>
      <c r="D122" s="62" t="n">
        <v>202.3695833228076</v>
      </c>
      <c r="E122" s="62" t="n">
        <v>423.5667943163534</v>
      </c>
      <c r="F122" s="62" t="n">
        <v>79.68135902314162</v>
      </c>
      <c r="G122" s="62" t="n">
        <v>164.0817572937847</v>
      </c>
      <c r="H122" s="62" t="n">
        <v>560.8368061775889</v>
      </c>
      <c r="I122" s="62" t="n">
        <v>76.67566465445429</v>
      </c>
      <c r="J122" s="62" t="n">
        <v>276.4754095015651</v>
      </c>
      <c r="K122" s="62" t="n">
        <v>109.9124113017331</v>
      </c>
      <c r="L122" s="62" t="n">
        <v>168.1</v>
      </c>
      <c r="M122" s="62" t="n">
        <v>26.22000000000002</v>
      </c>
      <c r="N122" s="62" t="n">
        <v>174.0699999999999</v>
      </c>
      <c r="O122" s="62" t="n">
        <v>482.9866154573073</v>
      </c>
      <c r="P122" s="62" t="n">
        <v>63.4099999999999</v>
      </c>
      <c r="Q122" s="62" t="n">
        <v>560.8184646034193</v>
      </c>
      <c r="R122" s="62" t="n">
        <v>231.04255825926</v>
      </c>
      <c r="S122" s="62" t="n">
        <v>50.74999999999992</v>
      </c>
      <c r="T122" s="62" t="n">
        <v>195.4800000000003</v>
      </c>
      <c r="U122" s="62" t="n">
        <v>121.2500000000001</v>
      </c>
      <c r="V122" s="62" t="n">
        <v>25.27705251212672</v>
      </c>
      <c r="W122" s="62" t="n">
        <v>109.3299999999999</v>
      </c>
      <c r="X122" s="62" t="n">
        <v>107.0099999999999</v>
      </c>
      <c r="Y122" s="62" t="n">
        <v>873.7100000000002</v>
      </c>
      <c r="Z122" s="62" t="n">
        <v>37.95493909709771</v>
      </c>
      <c r="AA122" s="62" t="n">
        <v>915.5699999999998</v>
      </c>
      <c r="AB122" s="62" t="n">
        <v>265.4499999999998</v>
      </c>
      <c r="AC122" s="62" t="n">
        <v>67.94545261714755</v>
      </c>
      <c r="AD122" s="62" t="n">
        <v>157.3399999999997</v>
      </c>
      <c r="AE122" s="62" t="n">
        <v>79.30000000000007</v>
      </c>
      <c r="AF122" s="62" t="n">
        <v>135.54</v>
      </c>
      <c r="AG122" s="62" t="n">
        <v>98.86999999999991</v>
      </c>
      <c r="AH122" s="62" t="n">
        <v>39.75000000000003</v>
      </c>
      <c r="AI122" s="62" t="n">
        <v>290.1199999999996</v>
      </c>
      <c r="AJ122" s="62" t="n">
        <v>83.69999999999992</v>
      </c>
      <c r="AK122" s="62" t="n">
        <v>92.70000000000012</v>
      </c>
      <c r="AL122" s="62" t="n">
        <v>107.4099999999999</v>
      </c>
      <c r="AM122" s="62" t="n">
        <v>95.9800000000002</v>
      </c>
      <c r="AN122" s="62" t="n">
        <v>84.47</v>
      </c>
    </row>
    <row r="123" ht="19" customHeight="1">
      <c r="A123" s="19" t="inlineStr">
        <is>
          <t>2024-10-01</t>
        </is>
      </c>
      <c r="B123" s="62" t="n">
        <v>373.9951383834659</v>
      </c>
      <c r="C123" s="62" t="n">
        <v>151.43953187822</v>
      </c>
      <c r="D123" s="62" t="n">
        <v>214.2901478276893</v>
      </c>
      <c r="E123" s="62" t="n">
        <v>399.9891993351687</v>
      </c>
      <c r="F123" s="62" t="n">
        <v>74.70189901642503</v>
      </c>
      <c r="G123" s="62" t="n">
        <v>157.4112793200568</v>
      </c>
      <c r="H123" s="62" t="n">
        <v>541.4776067916492</v>
      </c>
      <c r="I123" s="62" t="n">
        <v>75.74065776888239</v>
      </c>
      <c r="J123" s="62" t="n">
        <v>274.3954440365649</v>
      </c>
      <c r="K123" s="62" t="n">
        <v>109.5025141884558</v>
      </c>
      <c r="L123" s="62" t="n">
        <v>165.78</v>
      </c>
      <c r="M123" s="62" t="n">
        <v>26.27000000000002</v>
      </c>
      <c r="N123" s="62" t="n">
        <v>171.2799999999999</v>
      </c>
      <c r="O123" s="62" t="n">
        <v>478.8126077401977</v>
      </c>
      <c r="P123" s="62" t="n">
        <v>63.2399999999999</v>
      </c>
      <c r="Q123" s="62" t="n">
        <v>555.8083889848264</v>
      </c>
      <c r="R123" s="62" t="n">
        <v>224.0133931380301</v>
      </c>
      <c r="S123" s="62" t="n">
        <v>52.62999999999992</v>
      </c>
      <c r="T123" s="62" t="n">
        <v>193.5200000000004</v>
      </c>
      <c r="U123" s="62" t="n">
        <v>132.5500000000001</v>
      </c>
      <c r="V123" s="62" t="n">
        <v>24.71689622376934</v>
      </c>
      <c r="W123" s="62" t="n">
        <v>109.2299999999999</v>
      </c>
      <c r="X123" s="62" t="n">
        <v>96.41999999999992</v>
      </c>
      <c r="Y123" s="62" t="n">
        <v>818.2800000000001</v>
      </c>
      <c r="Z123" s="62" t="n">
        <v>40.00466578700946</v>
      </c>
      <c r="AA123" s="62" t="n">
        <v>945.9599999999997</v>
      </c>
      <c r="AB123" s="62" t="n">
        <v>265.0399999999998</v>
      </c>
      <c r="AC123" s="62" t="n">
        <v>61.74677977685452</v>
      </c>
      <c r="AD123" s="62" t="n">
        <v>153.6699999999997</v>
      </c>
      <c r="AE123" s="62" t="n">
        <v>80.48000000000008</v>
      </c>
      <c r="AF123" s="62" t="n">
        <v>136.97</v>
      </c>
      <c r="AG123" s="62" t="n">
        <v>102.8799999999999</v>
      </c>
      <c r="AH123" s="62" t="n">
        <v>37.97000000000003</v>
      </c>
      <c r="AI123" s="62" t="n">
        <v>278.2999999999996</v>
      </c>
      <c r="AJ123" s="62" t="n">
        <v>73.02999999999993</v>
      </c>
      <c r="AK123" s="62" t="n">
        <v>92.90000000000012</v>
      </c>
      <c r="AL123" s="62" t="n">
        <v>107.3799999999999</v>
      </c>
      <c r="AM123" s="62" t="n">
        <v>92.38000000000018</v>
      </c>
      <c r="AN123" s="62" t="n">
        <v>85.26000000000001</v>
      </c>
    </row>
    <row r="124" ht="19" customHeight="1">
      <c r="A124" s="19" t="inlineStr">
        <is>
          <t>2024-11-01</t>
        </is>
      </c>
      <c r="B124" s="62" t="n">
        <v>409.7508493999154</v>
      </c>
      <c r="C124" s="62" t="n">
        <v>148.0193166036806</v>
      </c>
      <c r="D124" s="62" t="n">
        <v>241.1314189108291</v>
      </c>
      <c r="E124" s="62" t="n">
        <v>417.6673960810273</v>
      </c>
      <c r="F124" s="62" t="n">
        <v>74.65190443804434</v>
      </c>
      <c r="G124" s="62" t="n">
        <v>170.8222402837287</v>
      </c>
      <c r="H124" s="62" t="n">
        <v>585.3157938308846</v>
      </c>
      <c r="I124" s="62" t="n">
        <v>79.14098280953498</v>
      </c>
      <c r="J124" s="62" t="n">
        <v>292.7851387006773</v>
      </c>
      <c r="K124" s="62" t="n">
        <v>111.5220072831393</v>
      </c>
      <c r="L124" s="62" t="n">
        <v>175.13</v>
      </c>
      <c r="M124" s="62" t="n">
        <v>27.48000000000002</v>
      </c>
      <c r="N124" s="62" t="n">
        <v>182.2899999999999</v>
      </c>
      <c r="O124" s="62" t="n">
        <v>504.4358225777649</v>
      </c>
      <c r="P124" s="62" t="n">
        <v>67.56999999999989</v>
      </c>
      <c r="Q124" s="62" t="n">
        <v>588.9588893353967</v>
      </c>
      <c r="R124" s="62" t="n">
        <v>235.5920179038683</v>
      </c>
      <c r="S124" s="62" t="n">
        <v>56.88999999999992</v>
      </c>
      <c r="T124" s="62" t="n">
        <v>191.4900000000004</v>
      </c>
      <c r="U124" s="62" t="n">
        <v>138.0300000000001</v>
      </c>
      <c r="V124" s="62" t="n">
        <v>23.24648596683122</v>
      </c>
      <c r="W124" s="62" t="n">
        <v>114.4399999999999</v>
      </c>
      <c r="X124" s="62" t="n">
        <v>95.77999999999992</v>
      </c>
      <c r="Y124" s="62" t="n">
        <v>785.6700000000001</v>
      </c>
      <c r="Z124" s="62" t="n">
        <v>45.44394051536067</v>
      </c>
      <c r="AA124" s="62" t="n">
        <v>986.2399999999997</v>
      </c>
      <c r="AB124" s="62" t="n">
        <v>298.9999999999998</v>
      </c>
      <c r="AC124" s="62" t="n">
        <v>61.0469296174666</v>
      </c>
      <c r="AD124" s="62" t="n">
        <v>151.2399999999998</v>
      </c>
      <c r="AE124" s="62" t="n">
        <v>90.84000000000007</v>
      </c>
      <c r="AF124" s="62" t="n">
        <v>150.55</v>
      </c>
      <c r="AG124" s="62" t="n">
        <v>102.4599999999999</v>
      </c>
      <c r="AH124" s="62" t="n">
        <v>41.64000000000004</v>
      </c>
      <c r="AI124" s="62" t="n">
        <v>282.0199999999996</v>
      </c>
      <c r="AJ124" s="62" t="n">
        <v>74.57999999999993</v>
      </c>
      <c r="AK124" s="62" t="n">
        <v>98.03000000000011</v>
      </c>
      <c r="AL124" s="62" t="n">
        <v>110.0799999999999</v>
      </c>
      <c r="AM124" s="62" t="n">
        <v>94.33000000000018</v>
      </c>
      <c r="AN124" s="62" t="n">
        <v>84.17</v>
      </c>
    </row>
    <row r="125" ht="19" customHeight="1">
      <c r="A125" s="19" t="inlineStr">
        <is>
          <t>2024-12-01</t>
        </is>
      </c>
      <c r="B125" s="62" t="n">
        <v>371.4154478235542</v>
      </c>
      <c r="C125" s="62" t="n">
        <v>138.0986921816246</v>
      </c>
      <c r="D125" s="62" t="n">
        <v>231.4709614345575</v>
      </c>
      <c r="E125" s="62" t="n">
        <v>415.7375929294714</v>
      </c>
      <c r="F125" s="62" t="n">
        <v>68.03262226044117</v>
      </c>
      <c r="G125" s="62" t="n">
        <v>159.7614477215951</v>
      </c>
      <c r="H125" s="62" t="n">
        <v>487.0898560374521</v>
      </c>
      <c r="I125" s="62" t="n">
        <v>75.55755642048858</v>
      </c>
      <c r="J125" s="62" t="n">
        <v>283.8852864706283</v>
      </c>
      <c r="K125" s="62" t="n">
        <v>101.6944740550509</v>
      </c>
      <c r="L125" s="62" t="n">
        <v>163.97</v>
      </c>
      <c r="M125" s="62" t="n">
        <v>25.66000000000001</v>
      </c>
      <c r="N125" s="62" t="n">
        <v>170.8499999999999</v>
      </c>
      <c r="O125" s="62" t="n">
        <v>506.7225397242196</v>
      </c>
      <c r="P125" s="62" t="n">
        <v>67.8799999999999</v>
      </c>
      <c r="Q125" s="62" t="n">
        <v>574.7886754600548</v>
      </c>
      <c r="R125" s="62" t="n">
        <v>248.5904740313205</v>
      </c>
      <c r="S125" s="62" t="n">
        <v>56.87999999999992</v>
      </c>
      <c r="T125" s="62" t="n">
        <v>178.6100000000004</v>
      </c>
      <c r="U125" s="62" t="n">
        <v>134.0900000000001</v>
      </c>
      <c r="V125" s="62" t="n">
        <v>23.53656690187344</v>
      </c>
      <c r="W125" s="62" t="n">
        <v>108.98</v>
      </c>
      <c r="X125" s="62" t="n">
        <v>94.48999999999991</v>
      </c>
      <c r="Y125" s="62" t="n">
        <v>762.6000000000001</v>
      </c>
      <c r="Z125" s="62" t="n">
        <v>42.27436314608249</v>
      </c>
      <c r="AA125" s="62" t="n">
        <v>993.3599999999997</v>
      </c>
      <c r="AB125" s="62" t="n">
        <v>291.2599999999998</v>
      </c>
      <c r="AC125" s="62" t="n">
        <v>59.30730207841661</v>
      </c>
      <c r="AD125" s="62" t="n">
        <v>141.8999999999997</v>
      </c>
      <c r="AE125" s="62" t="n">
        <v>88.93000000000008</v>
      </c>
      <c r="AF125" s="62" t="n">
        <v>134.66</v>
      </c>
      <c r="AG125" s="62" t="n">
        <v>93.78999999999992</v>
      </c>
      <c r="AH125" s="62" t="n">
        <v>36.56000000000003</v>
      </c>
      <c r="AI125" s="62" t="n">
        <v>277.8499999999996</v>
      </c>
      <c r="AJ125" s="62" t="n">
        <v>72.01999999999992</v>
      </c>
      <c r="AK125" s="62" t="n">
        <v>87.3000000000001</v>
      </c>
      <c r="AL125" s="62" t="n">
        <v>101.3299999999999</v>
      </c>
      <c r="AM125" s="62" t="n">
        <v>87.12000000000018</v>
      </c>
      <c r="AN125" s="62" t="n">
        <v>77.73999999999999</v>
      </c>
    </row>
    <row r="126" ht="19" customHeight="1">
      <c r="A126" s="19" t="inlineStr">
        <is>
          <t>2025-01-01</t>
        </is>
      </c>
      <c r="B126" s="62" t="n">
        <v>393.3728139846625</v>
      </c>
      <c r="C126" s="62" t="n">
        <v>145.2891447617236</v>
      </c>
      <c r="D126" s="62" t="n">
        <v>259.4422860320023</v>
      </c>
      <c r="E126" s="62" t="n">
        <v>409.3782416113912</v>
      </c>
      <c r="F126" s="62" t="n">
        <v>67.91263527232752</v>
      </c>
      <c r="G126" s="62" t="n">
        <v>159.1414032922531</v>
      </c>
      <c r="H126" s="62" t="n">
        <v>522.358397480742</v>
      </c>
      <c r="I126" s="62" t="n">
        <v>77.87977352174536</v>
      </c>
      <c r="J126" s="62" t="n">
        <v>292.4951435156532</v>
      </c>
      <c r="K126" s="62" t="n">
        <v>100.9946497153091</v>
      </c>
      <c r="L126" s="62" t="n">
        <v>171.14</v>
      </c>
      <c r="M126" s="62" t="n">
        <v>26.14000000000002</v>
      </c>
      <c r="N126" s="62" t="n">
        <v>176.7099999999999</v>
      </c>
      <c r="O126" s="62" t="n">
        <v>517.6867992299284</v>
      </c>
      <c r="P126" s="62" t="n">
        <v>69.1899999999999</v>
      </c>
      <c r="Q126" s="62" t="n">
        <v>590.2289085041817</v>
      </c>
      <c r="R126" s="62" t="n">
        <v>234.2721746663116</v>
      </c>
      <c r="S126" s="62" t="n">
        <v>58.61999999999991</v>
      </c>
      <c r="T126" s="62" t="n">
        <v>177.1500000000003</v>
      </c>
      <c r="U126" s="62" t="n">
        <v>119.8900000000001</v>
      </c>
      <c r="V126" s="62" t="n">
        <v>23.91667295468737</v>
      </c>
      <c r="W126" s="62" t="n">
        <v>123.91</v>
      </c>
      <c r="X126" s="62" t="n">
        <v>93.85999999999991</v>
      </c>
      <c r="Y126" s="62" t="n">
        <v>801.2</v>
      </c>
      <c r="Z126" s="62" t="n">
        <v>44.53406183837545</v>
      </c>
      <c r="AA126" s="62" t="n">
        <v>1042.19</v>
      </c>
      <c r="AB126" s="62" t="n">
        <v>312.2599999999998</v>
      </c>
      <c r="AC126" s="62" t="n">
        <v>60.47705163053643</v>
      </c>
      <c r="AD126" s="62" t="n">
        <v>140.6199999999997</v>
      </c>
      <c r="AE126" s="62" t="n">
        <v>96.61000000000008</v>
      </c>
      <c r="AF126" s="62" t="n">
        <v>138.71</v>
      </c>
      <c r="AG126" s="62" t="n">
        <v>93.45999999999991</v>
      </c>
      <c r="AH126" s="62" t="n">
        <v>38.41000000000003</v>
      </c>
      <c r="AI126" s="62" t="n">
        <v>276.7099999999996</v>
      </c>
      <c r="AJ126" s="62" t="n">
        <v>73.17999999999994</v>
      </c>
      <c r="AK126" s="62" t="n">
        <v>103.0200000000001</v>
      </c>
      <c r="AL126" s="62" t="n">
        <v>105.3199999999999</v>
      </c>
      <c r="AM126" s="62" t="n">
        <v>92.92000000000017</v>
      </c>
      <c r="AN126" s="62" t="n">
        <v>79.28</v>
      </c>
    </row>
    <row r="127" ht="19" customHeight="1">
      <c r="A127" s="19" t="inlineStr">
        <is>
          <t>2025-02-01</t>
        </is>
      </c>
      <c r="B127" s="62" t="n">
        <v>378.684575874158</v>
      </c>
      <c r="C127" s="62" t="n">
        <v>158.8399976769312</v>
      </c>
      <c r="D127" s="62" t="n">
        <v>256.8721643224766</v>
      </c>
      <c r="E127" s="62" t="n">
        <v>392.3399795893646</v>
      </c>
      <c r="F127" s="62" t="n">
        <v>67.13271984958878</v>
      </c>
      <c r="G127" s="62" t="n">
        <v>166.671942893778</v>
      </c>
      <c r="H127" s="62" t="n">
        <v>457.3410863199054</v>
      </c>
      <c r="I127" s="62" t="n">
        <v>77.78927285528093</v>
      </c>
      <c r="J127" s="62" t="n">
        <v>286.9652353322633</v>
      </c>
      <c r="K127" s="62" t="n">
        <v>106.1933448105339</v>
      </c>
      <c r="L127" s="62" t="n">
        <v>172.5200000000001</v>
      </c>
      <c r="M127" s="62" t="n">
        <v>26.80000000000002</v>
      </c>
      <c r="N127" s="62" t="n">
        <v>175.6799999999999</v>
      </c>
      <c r="O127" s="62" t="n">
        <v>503.68689774814</v>
      </c>
      <c r="P127" s="62" t="n">
        <v>67.09999999999989</v>
      </c>
      <c r="Q127" s="62" t="n">
        <v>582.7287953026952</v>
      </c>
      <c r="R127" s="62" t="n">
        <v>240.3314549841855</v>
      </c>
      <c r="S127" s="62" t="n">
        <v>62.01999999999992</v>
      </c>
      <c r="T127" s="62" t="n">
        <v>188.0700000000003</v>
      </c>
      <c r="U127" s="62" t="n">
        <v>124.7300000000001</v>
      </c>
      <c r="V127" s="62" t="n">
        <v>23.82664783691565</v>
      </c>
      <c r="W127" s="62" t="n">
        <v>133.6699999999999</v>
      </c>
      <c r="X127" s="62" t="n">
        <v>87.61999999999993</v>
      </c>
      <c r="Y127" s="62" t="n">
        <v>910.99</v>
      </c>
      <c r="Z127" s="62" t="n">
        <v>44.33408850277431</v>
      </c>
      <c r="AA127" s="62" t="n">
        <v>947.4999999999997</v>
      </c>
      <c r="AB127" s="62" t="n">
        <v>296.0399999999998</v>
      </c>
      <c r="AC127" s="62" t="n">
        <v>67.83547616352945</v>
      </c>
      <c r="AD127" s="62" t="n">
        <v>143.2099999999998</v>
      </c>
      <c r="AE127" s="62" t="n">
        <v>97.06000000000009</v>
      </c>
      <c r="AF127" s="62" t="n">
        <v>149.11</v>
      </c>
      <c r="AG127" s="62" t="n">
        <v>94.52999999999993</v>
      </c>
      <c r="AH127" s="62" t="n">
        <v>40.01000000000003</v>
      </c>
      <c r="AI127" s="62" t="n">
        <v>295.5199999999996</v>
      </c>
      <c r="AJ127" s="62" t="n">
        <v>75.58999999999993</v>
      </c>
      <c r="AK127" s="62" t="n">
        <v>111.4000000000001</v>
      </c>
      <c r="AL127" s="62" t="n">
        <v>111.5199999999999</v>
      </c>
      <c r="AM127" s="62" t="n">
        <v>101.1200000000002</v>
      </c>
      <c r="AN127" s="62" t="n">
        <v>85.52000000000001</v>
      </c>
    </row>
    <row r="128" ht="19" customHeight="1">
      <c r="A128" s="19" t="inlineStr">
        <is>
          <t>2025-03-01</t>
        </is>
      </c>
      <c r="B128" s="62" t="n">
        <v>352.1577578297955</v>
      </c>
      <c r="C128" s="62" t="n">
        <v>159.6300474040909</v>
      </c>
      <c r="D128" s="62" t="n">
        <v>238.0912749431411</v>
      </c>
      <c r="E128" s="62" t="n">
        <v>370.9921571615321</v>
      </c>
      <c r="F128" s="62" t="n">
        <v>67.82264503124229</v>
      </c>
      <c r="G128" s="62" t="n">
        <v>163.3917078482267</v>
      </c>
      <c r="H128" s="62" t="n">
        <v>506.4690545963113</v>
      </c>
      <c r="I128" s="62" t="n">
        <v>75.53345624301021</v>
      </c>
      <c r="J128" s="62" t="n">
        <v>270.1655142688001</v>
      </c>
      <c r="K128" s="62" t="n">
        <v>113.4415254721453</v>
      </c>
      <c r="L128" s="62" t="n">
        <v>168.2800000000001</v>
      </c>
      <c r="M128" s="62" t="n">
        <v>26.50000000000002</v>
      </c>
      <c r="N128" s="62" t="n">
        <v>169.7099999999999</v>
      </c>
      <c r="O128" s="62" t="n">
        <v>465.4817457728741</v>
      </c>
      <c r="P128" s="62" t="n">
        <v>61.39999999999991</v>
      </c>
      <c r="Q128" s="62" t="n">
        <v>550.2583052157263</v>
      </c>
      <c r="R128" s="62" t="n">
        <v>220.7437814813556</v>
      </c>
      <c r="S128" s="62" t="n">
        <v>59.69999999999992</v>
      </c>
      <c r="T128" s="62" t="n">
        <v>172.4400000000003</v>
      </c>
      <c r="U128" s="62" t="n">
        <v>108.2300000000001</v>
      </c>
      <c r="V128" s="62" t="n">
        <v>22.84637433229024</v>
      </c>
      <c r="W128" s="62" t="n">
        <v>128.4799999999999</v>
      </c>
      <c r="X128" s="62" t="n">
        <v>85.99999999999993</v>
      </c>
      <c r="Y128" s="62" t="n">
        <v>817.26</v>
      </c>
      <c r="Z128" s="62" t="n">
        <v>40.39461379143171</v>
      </c>
      <c r="AA128" s="62" t="n">
        <v>922.1699999999996</v>
      </c>
      <c r="AB128" s="62" t="n">
        <v>264.6499999999998</v>
      </c>
      <c r="AC128" s="62" t="n">
        <v>68.73528351131394</v>
      </c>
      <c r="AD128" s="62" t="n">
        <v>141.1599999999997</v>
      </c>
      <c r="AE128" s="62" t="n">
        <v>86.64000000000007</v>
      </c>
      <c r="AF128" s="62" t="n">
        <v>157.26</v>
      </c>
      <c r="AG128" s="62" t="n">
        <v>100.1199999999999</v>
      </c>
      <c r="AH128" s="62" t="n">
        <v>40.14000000000003</v>
      </c>
      <c r="AI128" s="62" t="n">
        <v>301.1199999999996</v>
      </c>
      <c r="AJ128" s="62" t="n">
        <v>60.71999999999995</v>
      </c>
      <c r="AK128" s="62" t="n">
        <v>94.3600000000001</v>
      </c>
      <c r="AL128" s="62" t="n">
        <v>115.7699999999999</v>
      </c>
      <c r="AM128" s="62" t="n">
        <v>104.1900000000002</v>
      </c>
      <c r="AN128" s="62" t="n">
        <v>87.57000000000001</v>
      </c>
    </row>
    <row r="129" ht="19" customHeight="1">
      <c r="A129" s="19" t="inlineStr">
        <is>
          <t>2025-04-01</t>
        </is>
      </c>
      <c r="B129" s="62" t="n">
        <v>346.3884498721637</v>
      </c>
      <c r="C129" s="62" t="n">
        <v>150.4594701913637</v>
      </c>
      <c r="D129" s="62" t="n">
        <v>238.8913128293748</v>
      </c>
      <c r="E129" s="62" t="n">
        <v>390.6301539991261</v>
      </c>
      <c r="F129" s="62" t="n">
        <v>63.99306032728153</v>
      </c>
      <c r="G129" s="62" t="n">
        <v>156.8612399069308</v>
      </c>
      <c r="H129" s="62" t="n">
        <v>397.8635460577312</v>
      </c>
      <c r="I129" s="62" t="n">
        <v>73.82414365530104</v>
      </c>
      <c r="J129" s="62" t="n">
        <v>268.175547309497</v>
      </c>
      <c r="K129" s="62" t="n">
        <v>100.7547099416833</v>
      </c>
      <c r="L129" s="62" t="n">
        <v>162.1800000000001</v>
      </c>
      <c r="M129" s="62" t="n">
        <v>24.47000000000002</v>
      </c>
      <c r="N129" s="62" t="n">
        <v>165.6999999999999</v>
      </c>
      <c r="O129" s="62" t="n">
        <v>471.9824132940184</v>
      </c>
      <c r="P129" s="62" t="n">
        <v>62.63999999999991</v>
      </c>
      <c r="Q129" s="62" t="n">
        <v>545.4882332195809</v>
      </c>
      <c r="R129" s="62" t="n">
        <v>211.1749180090696</v>
      </c>
      <c r="S129" s="62" t="n">
        <v>56.21999999999991</v>
      </c>
      <c r="T129" s="62" t="n">
        <v>154.8900000000003</v>
      </c>
      <c r="U129" s="62" t="n">
        <v>108.7700000000001</v>
      </c>
      <c r="V129" s="62" t="n">
        <v>22.00613989975417</v>
      </c>
      <c r="W129" s="62" t="n">
        <v>127.2199999999999</v>
      </c>
      <c r="X129" s="62" t="n">
        <v>81.62999999999992</v>
      </c>
      <c r="Y129" s="62" t="n">
        <v>889.54</v>
      </c>
      <c r="Z129" s="62" t="n">
        <v>38.59485377102139</v>
      </c>
      <c r="AA129" s="62" t="n">
        <v>890.7799999999996</v>
      </c>
      <c r="AB129" s="62" t="n">
        <v>262.9299999999998</v>
      </c>
      <c r="AC129" s="62" t="n">
        <v>69.62509299967859</v>
      </c>
      <c r="AD129" s="62" t="n">
        <v>127.6399999999998</v>
      </c>
      <c r="AE129" s="62" t="n">
        <v>95.98000000000008</v>
      </c>
      <c r="AF129" s="62" t="n">
        <v>127.9</v>
      </c>
      <c r="AG129" s="62" t="n">
        <v>84.96999999999994</v>
      </c>
      <c r="AH129" s="62" t="n">
        <v>31.93000000000002</v>
      </c>
      <c r="AI129" s="62" t="n">
        <v>308.1399999999996</v>
      </c>
      <c r="AJ129" s="62" t="n">
        <v>53.94999999999996</v>
      </c>
      <c r="AK129" s="62" t="n">
        <v>77.00000000000009</v>
      </c>
      <c r="AL129" s="62" t="n">
        <v>115.8199999999999</v>
      </c>
      <c r="AM129" s="62" t="n">
        <v>103.3000000000002</v>
      </c>
      <c r="AN129" s="62" t="n">
        <v>87.52000000000001</v>
      </c>
    </row>
    <row r="130" ht="19" customHeight="1">
      <c r="A130" s="19" t="inlineStr">
        <is>
          <t>2025-05-01</t>
        </is>
      </c>
      <c r="B130" s="62" t="n">
        <v>353.887550337023</v>
      </c>
      <c r="C130" s="62" t="n">
        <v>150.6794840394335</v>
      </c>
      <c r="D130" s="62" t="n">
        <v>257.8222093123791</v>
      </c>
      <c r="E130" s="62" t="n">
        <v>455.8035060293896</v>
      </c>
      <c r="F130" s="62" t="n">
        <v>67.58267105501498</v>
      </c>
      <c r="G130" s="62" t="n">
        <v>163.9317465447504</v>
      </c>
      <c r="H130" s="62" t="n">
        <v>291.947926276805</v>
      </c>
      <c r="I130" s="62" t="n">
        <v>76.1111604973363</v>
      </c>
      <c r="J130" s="62" t="n">
        <v>284.9452688710611</v>
      </c>
      <c r="K130" s="62" t="n">
        <v>98.47528209223861</v>
      </c>
      <c r="L130" s="62" t="n">
        <v>166.9700000000001</v>
      </c>
      <c r="M130" s="62" t="n">
        <v>24.80000000000002</v>
      </c>
      <c r="N130" s="62" t="n">
        <v>172.8399999999999</v>
      </c>
      <c r="O130" s="62" t="n">
        <v>515.3002254395236</v>
      </c>
      <c r="P130" s="62" t="n">
        <v>68.4099999999999</v>
      </c>
      <c r="Q130" s="62" t="n">
        <v>579.7687506258419</v>
      </c>
      <c r="R130" s="62" t="n">
        <v>199.8562623657805</v>
      </c>
      <c r="S130" s="62" t="n">
        <v>61.38999999999991</v>
      </c>
      <c r="T130" s="62" t="n">
        <v>176.9600000000003</v>
      </c>
      <c r="U130" s="62" t="n">
        <v>134.9400000000001</v>
      </c>
      <c r="V130" s="62" t="n">
        <v>21.58602268348614</v>
      </c>
      <c r="W130" s="62" t="n">
        <v>129.9799999999999</v>
      </c>
      <c r="X130" s="62" t="n">
        <v>73.61999999999993</v>
      </c>
      <c r="Y130" s="62" t="n">
        <v>731.4400000000001</v>
      </c>
      <c r="Z130" s="62" t="n">
        <v>42.71430448440501</v>
      </c>
      <c r="AA130" s="62" t="n">
        <v>954.7199999999997</v>
      </c>
      <c r="AB130" s="62" t="n">
        <v>290.1999999999998</v>
      </c>
      <c r="AC130" s="62" t="n">
        <v>69.195185044626</v>
      </c>
      <c r="AD130" s="62" t="n">
        <v>123.7499999999998</v>
      </c>
      <c r="AE130" s="62" t="n">
        <v>97.67000000000009</v>
      </c>
      <c r="AF130" s="62" t="n">
        <v>130.07</v>
      </c>
      <c r="AG130" s="62" t="n">
        <v>82.05999999999995</v>
      </c>
      <c r="AH130" s="62" t="n">
        <v>31.74000000000002</v>
      </c>
      <c r="AI130" s="62" t="n">
        <v>302.5499999999996</v>
      </c>
      <c r="AJ130" s="62" t="n">
        <v>57.95999999999995</v>
      </c>
      <c r="AK130" s="62" t="n">
        <v>81.32000000000008</v>
      </c>
      <c r="AL130" s="62" t="n">
        <v>112.7499999999999</v>
      </c>
      <c r="AM130" s="62" t="n">
        <v>99.56000000000017</v>
      </c>
      <c r="AN130" s="62" t="n">
        <v>86.44000000000001</v>
      </c>
    </row>
    <row r="131" ht="19" customHeight="1">
      <c r="A131" s="19" t="inlineStr">
        <is>
          <t>2025-06-01</t>
        </is>
      </c>
      <c r="B131" s="62" t="n">
        <v>354.4874783742117</v>
      </c>
      <c r="C131" s="62" t="n">
        <v>148.289333599039</v>
      </c>
      <c r="D131" s="62" t="n">
        <v>283.123407464519</v>
      </c>
      <c r="E131" s="62" t="n">
        <v>492.48976386907</v>
      </c>
      <c r="F131" s="62" t="n">
        <v>66.9527393674183</v>
      </c>
      <c r="G131" s="62" t="n">
        <v>153.7310156104138</v>
      </c>
      <c r="H131" s="62" t="n">
        <v>303.8174354044447</v>
      </c>
      <c r="I131" s="62" t="n">
        <v>78.56757858687514</v>
      </c>
      <c r="J131" s="62" t="n">
        <v>299.6650244695241</v>
      </c>
      <c r="K131" s="62" t="n">
        <v>103.7739520931408</v>
      </c>
      <c r="L131" s="62" t="n">
        <v>173.1200000000001</v>
      </c>
      <c r="M131" s="62" t="n">
        <v>25.36000000000002</v>
      </c>
      <c r="N131" s="62" t="n">
        <v>178.7699999999999</v>
      </c>
      <c r="O131" s="62" t="n">
        <v>548.202989621045</v>
      </c>
      <c r="P131" s="62" t="n">
        <v>72.67999999999991</v>
      </c>
      <c r="Q131" s="62" t="n">
        <v>609.5792005640169</v>
      </c>
      <c r="R131" s="62" t="n">
        <v>204.1557517002455</v>
      </c>
      <c r="S131" s="62" t="n">
        <v>67.56999999999989</v>
      </c>
      <c r="T131" s="62" t="n">
        <v>200.9300000000004</v>
      </c>
      <c r="U131" s="62" t="n">
        <v>157.7800000000002</v>
      </c>
      <c r="V131" s="62" t="n">
        <v>22.27621525306934</v>
      </c>
      <c r="W131" s="62" t="n">
        <v>132.3399999999999</v>
      </c>
      <c r="X131" s="62" t="n">
        <v>76.59999999999992</v>
      </c>
      <c r="Y131" s="62" t="n">
        <v>772.95</v>
      </c>
      <c r="Z131" s="62" t="n">
        <v>46.07385652250428</v>
      </c>
      <c r="AA131" s="62" t="n">
        <v>1027.72</v>
      </c>
      <c r="AB131" s="62" t="n">
        <v>314.8099999999997</v>
      </c>
      <c r="AC131" s="62" t="n">
        <v>68.37536057220015</v>
      </c>
      <c r="AD131" s="62" t="n">
        <v>125.6699999999998</v>
      </c>
      <c r="AE131" s="62" t="n">
        <v>96.74000000000008</v>
      </c>
      <c r="AF131" s="62" t="n">
        <v>136.24</v>
      </c>
      <c r="AG131" s="62" t="n">
        <v>86.27999999999994</v>
      </c>
      <c r="AH131" s="62" t="n">
        <v>32.73000000000002</v>
      </c>
      <c r="AI131" s="62" t="n">
        <v>283.2499999999996</v>
      </c>
      <c r="AJ131" s="62" t="n">
        <v>68.39999999999995</v>
      </c>
      <c r="AK131" s="62" t="n">
        <v>88.76000000000009</v>
      </c>
      <c r="AL131" s="62" t="n">
        <v>113.0199999999999</v>
      </c>
      <c r="AM131" s="62" t="n">
        <v>99.82000000000016</v>
      </c>
      <c r="AN131" s="62" t="n">
        <v>88.20000000000002</v>
      </c>
    </row>
    <row r="132" ht="19" customHeight="1">
      <c r="A132" s="19" t="inlineStr">
        <is>
          <t>2025-07-01</t>
        </is>
      </c>
      <c r="B132" s="62" t="n">
        <v>355.327377626276</v>
      </c>
      <c r="C132" s="62" t="n">
        <v>159.9300662878224</v>
      </c>
      <c r="D132" s="62" t="n">
        <v>290.6937659630051</v>
      </c>
      <c r="E132" s="62" t="n">
        <v>528.2261186030622</v>
      </c>
      <c r="F132" s="62" t="n">
        <v>68.53256804424808</v>
      </c>
      <c r="G132" s="62" t="n">
        <v>146.1804745756843</v>
      </c>
      <c r="H132" s="62" t="n">
        <v>243.0399489025122</v>
      </c>
      <c r="I132" s="62" t="n">
        <v>79.02328194276298</v>
      </c>
      <c r="J132" s="62" t="n">
        <v>306.5249105704382</v>
      </c>
      <c r="K132" s="62" t="n">
        <v>107.4730236032046</v>
      </c>
      <c r="L132" s="62" t="n">
        <v>173.42</v>
      </c>
      <c r="M132" s="62" t="n">
        <v>25.36000000000002</v>
      </c>
      <c r="N132" s="62" t="n">
        <v>180.6299999999999</v>
      </c>
      <c r="O132" s="62" t="n">
        <v>561.4939089307885</v>
      </c>
      <c r="P132" s="62" t="n">
        <v>75.45999999999989</v>
      </c>
      <c r="Q132" s="62" t="n">
        <v>623.6094123262643</v>
      </c>
      <c r="R132" s="62" t="n">
        <v>206.5454678652155</v>
      </c>
      <c r="S132" s="62" t="n">
        <v>66.6999999999999</v>
      </c>
      <c r="T132" s="62" t="n">
        <v>176.4900000000003</v>
      </c>
      <c r="U132" s="62" t="n">
        <v>177.6300000000002</v>
      </c>
      <c r="V132" s="62" t="n">
        <v>21.76607291902958</v>
      </c>
      <c r="W132" s="62" t="n">
        <v>123.34</v>
      </c>
      <c r="X132" s="62" t="n">
        <v>75.58999999999993</v>
      </c>
      <c r="Y132" s="62" t="n">
        <v>733.8200000000001</v>
      </c>
      <c r="Z132" s="62" t="n">
        <v>46.023863188604</v>
      </c>
      <c r="AA132" s="62" t="n">
        <v>1083.31</v>
      </c>
      <c r="AB132" s="62" t="n">
        <v>296.1399999999997</v>
      </c>
      <c r="AC132" s="62" t="n">
        <v>65.61595137232776</v>
      </c>
      <c r="AD132" s="62" t="n">
        <v>131.2599999999997</v>
      </c>
      <c r="AE132" s="62" t="n">
        <v>96.94000000000008</v>
      </c>
      <c r="AF132" s="62" t="n">
        <v>144.2799999999999</v>
      </c>
      <c r="AG132" s="62" t="n">
        <v>91.66999999999994</v>
      </c>
      <c r="AH132" s="62" t="n">
        <v>32.73000000000002</v>
      </c>
      <c r="AI132" s="62" t="n">
        <v>290.9099999999996</v>
      </c>
      <c r="AJ132" s="62" t="n">
        <v>71.91999999999993</v>
      </c>
      <c r="AK132" s="62" t="n">
        <v>86.37000000000009</v>
      </c>
      <c r="AL132" s="62" t="n">
        <v>116.5099999999999</v>
      </c>
      <c r="AM132" s="62" t="n">
        <v>108.8400000000002</v>
      </c>
      <c r="AN132" s="62" t="n">
        <v>90.73999999999999</v>
      </c>
    </row>
    <row r="133" ht="19" customHeight="1">
      <c r="A133" s="19" t="inlineStr">
        <is>
          <t>2025-08-01</t>
        </is>
      </c>
      <c r="B133" s="62" t="n">
        <v>393.292823579704</v>
      </c>
      <c r="C133" s="62" t="n">
        <v>173.2609053549602</v>
      </c>
      <c r="D133" s="62" t="n">
        <v>295.7840070141668</v>
      </c>
      <c r="E133" s="62" t="n">
        <v>502.5087418890644</v>
      </c>
      <c r="F133" s="62" t="n">
        <v>70.03240539566873</v>
      </c>
      <c r="G133" s="62" t="n">
        <v>152.5609317679458</v>
      </c>
      <c r="H133" s="62" t="n">
        <v>301.7775197666701</v>
      </c>
      <c r="I133" s="62" t="n">
        <v>80.93369601142243</v>
      </c>
      <c r="J133" s="62" t="n">
        <v>313.7347908601745</v>
      </c>
      <c r="K133" s="62" t="n">
        <v>111.0421277358877</v>
      </c>
      <c r="L133" s="62" t="n">
        <v>179.4700000000001</v>
      </c>
      <c r="M133" s="62" t="n">
        <v>26.72000000000002</v>
      </c>
      <c r="N133" s="62" t="n">
        <v>185.5399999999999</v>
      </c>
      <c r="O133" s="62" t="n">
        <v>566.8462250465079</v>
      </c>
      <c r="P133" s="62" t="n">
        <v>76.02999999999989</v>
      </c>
      <c r="Q133" s="62" t="n">
        <v>636.4096055234679</v>
      </c>
      <c r="R133" s="62" t="n">
        <v>231.2625321321862</v>
      </c>
      <c r="S133" s="62" t="n">
        <v>67.6899999999999</v>
      </c>
      <c r="T133" s="62" t="n">
        <v>197.3700000000003</v>
      </c>
      <c r="U133" s="62" t="n">
        <v>173.9500000000002</v>
      </c>
      <c r="V133" s="62" t="n">
        <v>23.14645805819598</v>
      </c>
      <c r="W133" s="62" t="n">
        <v>129.6599999999999</v>
      </c>
      <c r="X133" s="62" t="n">
        <v>81.39999999999993</v>
      </c>
      <c r="Y133" s="62" t="n">
        <v>727.99</v>
      </c>
      <c r="Z133" s="62" t="n">
        <v>49.40341256026338</v>
      </c>
      <c r="AA133" s="62" t="n">
        <v>1104.01</v>
      </c>
      <c r="AB133" s="62" t="n">
        <v>327.7699999999997</v>
      </c>
      <c r="AC133" s="62" t="n">
        <v>66.67572447082948</v>
      </c>
      <c r="AD133" s="62" t="n">
        <v>141.4799999999997</v>
      </c>
      <c r="AE133" s="62" t="n">
        <v>96.17000000000009</v>
      </c>
      <c r="AF133" s="62" t="n">
        <v>154.5099999999999</v>
      </c>
      <c r="AG133" s="62" t="n">
        <v>95.93999999999994</v>
      </c>
      <c r="AH133" s="62" t="n">
        <v>35.68000000000003</v>
      </c>
      <c r="AI133" s="62" t="n">
        <v>303.9599999999996</v>
      </c>
      <c r="AJ133" s="62" t="n">
        <v>74.49999999999993</v>
      </c>
      <c r="AK133" s="62" t="n">
        <v>86.00000000000009</v>
      </c>
      <c r="AL133" s="62" t="n">
        <v>118.3399999999999</v>
      </c>
      <c r="AM133" s="62" t="n">
        <v>107.6800000000002</v>
      </c>
      <c r="AN133" s="62" t="n">
        <v>89.34999999999999</v>
      </c>
    </row>
    <row r="134" ht="19" customHeight="1">
      <c r="A134" s="19" t="inlineStr">
        <is>
          <t>2025-09-01</t>
        </is>
      </c>
      <c r="B134" s="62" t="n">
        <v>393.982740822471</v>
      </c>
      <c r="C134" s="62" t="n">
        <v>181.3314133273384</v>
      </c>
      <c r="D134" s="62" t="n">
        <v>309.5246577102302</v>
      </c>
      <c r="E134" s="62" t="n">
        <v>513.6676036358847</v>
      </c>
      <c r="F134" s="62" t="n">
        <v>73.37204323149872</v>
      </c>
      <c r="G134" s="62" t="n">
        <v>149.2706960057921</v>
      </c>
      <c r="H134" s="62" t="n">
        <v>338.4060049684765</v>
      </c>
      <c r="I134" s="62" t="n">
        <v>82.5781081211919</v>
      </c>
      <c r="J134" s="62" t="n">
        <v>324.464612706065</v>
      </c>
      <c r="K134" s="62" t="n">
        <v>109.5425041507267</v>
      </c>
      <c r="L134" s="62" t="n">
        <v>183.6000000000001</v>
      </c>
      <c r="M134" s="62" t="n">
        <v>26.38000000000002</v>
      </c>
      <c r="N134" s="62" t="n">
        <v>187.4199999999999</v>
      </c>
      <c r="O134" s="62" t="n">
        <v>597.3224727800446</v>
      </c>
      <c r="P134" s="62" t="n">
        <v>79.59999999999988</v>
      </c>
      <c r="Q134" s="62" t="n">
        <v>659.0799476938279</v>
      </c>
      <c r="R134" s="62" t="n">
        <v>253.6598719210269</v>
      </c>
      <c r="S134" s="62" t="n">
        <v>67.0299999999999</v>
      </c>
      <c r="T134" s="62" t="n">
        <v>179.0900000000003</v>
      </c>
      <c r="U134" s="62" t="n">
        <v>186.3400000000002</v>
      </c>
      <c r="V134" s="62" t="n">
        <v>23.81664504605213</v>
      </c>
      <c r="W134" s="62" t="n">
        <v>130.9099999999999</v>
      </c>
      <c r="X134" s="62" t="n">
        <v>82.01999999999992</v>
      </c>
      <c r="Y134" s="62" t="n">
        <v>758.2199999999999</v>
      </c>
      <c r="Z134" s="62" t="n">
        <v>50.5032659060697</v>
      </c>
      <c r="AA134" s="62" t="n">
        <v>1147.33</v>
      </c>
      <c r="AB134" s="62" t="n">
        <v>328.6399999999996</v>
      </c>
      <c r="AC134" s="62" t="n">
        <v>64.58617185208553</v>
      </c>
      <c r="AD134" s="62" t="n">
        <v>134.9699999999997</v>
      </c>
      <c r="AE134" s="62" t="n">
        <v>102.2000000000001</v>
      </c>
      <c r="AF134" s="62" t="n">
        <v>149.3999999999999</v>
      </c>
      <c r="AG134" s="62" t="n">
        <v>91.69999999999995</v>
      </c>
      <c r="AH134" s="62" t="n">
        <v>33.55000000000003</v>
      </c>
      <c r="AI134" s="62" t="n">
        <v>296.2699999999996</v>
      </c>
      <c r="AJ134" s="62" t="n">
        <v>67.49999999999994</v>
      </c>
      <c r="AK134" s="62" t="n">
        <v>82.50000000000009</v>
      </c>
      <c r="AL134" s="62" t="n">
        <v>119.5499999999999</v>
      </c>
      <c r="AM134" s="62" t="n">
        <v>109.1200000000002</v>
      </c>
      <c r="AN134" s="62" t="n">
        <v>91.73999999999999</v>
      </c>
    </row>
    <row r="135" ht="19" customHeight="1">
      <c r="A135" s="19" t="inlineStr">
        <is>
          <t>2025-10-01</t>
        </is>
      </c>
      <c r="B135" s="62" t="n">
        <v>369.0957260797578</v>
      </c>
      <c r="C135" s="62" t="n">
        <v>184.7016254545893</v>
      </c>
      <c r="D135" s="62" t="n">
        <v>306.7845279498799</v>
      </c>
      <c r="E135" s="62" t="n">
        <v>513.5276179150464</v>
      </c>
      <c r="F135" s="62" t="n">
        <v>79.12141974527793</v>
      </c>
      <c r="G135" s="62" t="n">
        <v>147.1105412196973</v>
      </c>
      <c r="H135" s="62" t="n">
        <v>334.736156737774</v>
      </c>
      <c r="I135" s="62" t="n">
        <v>82.78340963307201</v>
      </c>
      <c r="J135" s="62" t="n">
        <v>331.6244938259695</v>
      </c>
      <c r="K135" s="62" t="n">
        <v>111.1121101698619</v>
      </c>
      <c r="L135" s="62" t="n">
        <v>182.8800000000001</v>
      </c>
      <c r="M135" s="62" t="n">
        <v>25.84000000000002</v>
      </c>
      <c r="N135" s="62" t="n">
        <v>185.6699999999999</v>
      </c>
      <c r="O135" s="62" t="n">
        <v>625.8814729497415</v>
      </c>
      <c r="P135" s="62" t="n">
        <v>82.78999999999988</v>
      </c>
      <c r="Q135" s="62" t="n">
        <v>674.7901848132082</v>
      </c>
      <c r="R135" s="62" t="n">
        <v>269.3480085856211</v>
      </c>
      <c r="S135" s="62" t="n">
        <v>72.05999999999989</v>
      </c>
      <c r="T135" s="62" t="n">
        <v>158.7900000000003</v>
      </c>
      <c r="U135" s="62" t="n">
        <v>202.2300000000002</v>
      </c>
      <c r="V135" s="62" t="n">
        <v>23.04643014956073</v>
      </c>
      <c r="W135" s="62" t="n">
        <v>121.3599999999999</v>
      </c>
      <c r="X135" s="62" t="n">
        <v>84.01999999999992</v>
      </c>
      <c r="Y135" s="62" t="n">
        <v>857.4499999999998</v>
      </c>
      <c r="Z135" s="62" t="n">
        <v>52.32302326004014</v>
      </c>
      <c r="AA135" s="62" t="n">
        <v>1065.59</v>
      </c>
      <c r="AB135" s="62" t="n">
        <v>357.8199999999997</v>
      </c>
      <c r="AC135" s="62" t="n">
        <v>67.10563242588206</v>
      </c>
      <c r="AD135" s="62" t="n">
        <v>140.3999999999997</v>
      </c>
      <c r="AE135" s="62" t="n">
        <v>100.3400000000001</v>
      </c>
      <c r="AF135" s="62" t="n">
        <v>151.7399999999999</v>
      </c>
      <c r="AG135" s="62" t="n">
        <v>86.13999999999994</v>
      </c>
      <c r="AH135" s="62" t="n">
        <v>35.20000000000004</v>
      </c>
      <c r="AI135" s="62" t="n">
        <v>290.9499999999996</v>
      </c>
      <c r="AJ135" s="62" t="n">
        <v>62.52999999999995</v>
      </c>
      <c r="AK135" s="62" t="n">
        <v>78.86000000000008</v>
      </c>
      <c r="AL135" s="62" t="n">
        <v>120.0899999999999</v>
      </c>
      <c r="AM135" s="62" t="n">
        <v>116.6400000000002</v>
      </c>
      <c r="AN135" s="62" t="n">
        <v>91.03</v>
      </c>
    </row>
    <row r="136" ht="19" customHeight="1">
      <c r="A136" s="19" t="inlineStr">
        <is>
          <t>2025-11-01</t>
        </is>
      </c>
      <c r="B136" s="62" t="n">
        <v>347.0483707130712</v>
      </c>
      <c r="C136" s="62" t="n">
        <v>203.6328170180491</v>
      </c>
      <c r="D136" s="62" t="n">
        <v>308.7146193504187</v>
      </c>
      <c r="E136" s="62" t="n">
        <v>488.8601341073355</v>
      </c>
      <c r="F136" s="62" t="n">
        <v>84.44084288498321</v>
      </c>
      <c r="G136" s="62" t="n">
        <v>144.9403857170002</v>
      </c>
      <c r="H136" s="62" t="n">
        <v>323.1866343768441</v>
      </c>
      <c r="I136" s="62" t="n">
        <v>83.92291802463266</v>
      </c>
      <c r="J136" s="62" t="n">
        <v>332.504479215008</v>
      </c>
      <c r="K136" s="62" t="n">
        <v>113.6114828117969</v>
      </c>
      <c r="L136" s="62" t="n">
        <v>187.5300000000001</v>
      </c>
      <c r="M136" s="62" t="n">
        <v>26.66000000000002</v>
      </c>
      <c r="N136" s="62" t="n">
        <v>189.2199999999999</v>
      </c>
      <c r="O136" s="62" t="n">
        <v>616.1055075070376</v>
      </c>
      <c r="P136" s="62" t="n">
        <v>81.45999999999987</v>
      </c>
      <c r="Q136" s="62" t="n">
        <v>676.1102047366697</v>
      </c>
      <c r="R136" s="62" t="n">
        <v>278.0569741910141</v>
      </c>
      <c r="S136" s="62" t="n">
        <v>75.82999999999987</v>
      </c>
      <c r="T136" s="62" t="n">
        <v>165.4900000000003</v>
      </c>
      <c r="U136" s="62" t="n">
        <v>176.7700000000002</v>
      </c>
      <c r="V136" s="62" t="n">
        <v>24.48683203390828</v>
      </c>
      <c r="W136" s="62" t="n">
        <v>126.5499999999999</v>
      </c>
      <c r="X136" s="62" t="n">
        <v>102.4399999999999</v>
      </c>
      <c r="Y136" s="62" t="n">
        <v>1070.3</v>
      </c>
      <c r="Z136" s="62" t="n">
        <v>52.52299659564128</v>
      </c>
      <c r="AA136" s="62" t="n">
        <v>1030.65</v>
      </c>
      <c r="AB136" s="62" t="n">
        <v>362.3199999999997</v>
      </c>
      <c r="AC136" s="62" t="n">
        <v>71.21475264743115</v>
      </c>
      <c r="AD136" s="62" t="n">
        <v>142.9499999999997</v>
      </c>
      <c r="AE136" s="62" t="n">
        <v>109.5900000000001</v>
      </c>
      <c r="AF136" s="62" t="n">
        <v>147.0199999999999</v>
      </c>
      <c r="AG136" s="62" t="n">
        <v>86.77999999999994</v>
      </c>
      <c r="AH136" s="62" t="n">
        <v>35.38000000000004</v>
      </c>
      <c r="AI136" s="62" t="n">
        <v>303.9999999999995</v>
      </c>
      <c r="AJ136" s="62" t="n">
        <v>62.56999999999996</v>
      </c>
      <c r="AK136" s="62" t="n">
        <v>85.5600000000001</v>
      </c>
      <c r="AL136" s="62" t="n">
        <v>120.7799999999999</v>
      </c>
      <c r="AM136" s="62" t="n">
        <v>120.9900000000002</v>
      </c>
      <c r="AN136" s="62" t="n">
        <v>88.93000000000001</v>
      </c>
    </row>
    <row r="137" ht="19" customHeight="1">
      <c r="A137" s="19" t="inlineStr">
        <is>
          <t>2025-12-01</t>
        </is>
      </c>
      <c r="B137" s="62" t="n">
        <v>336.7496060746644</v>
      </c>
      <c r="C137" s="62" t="n">
        <v>203.6628189064222</v>
      </c>
      <c r="D137" s="62" t="n">
        <v>317.7250460441255</v>
      </c>
      <c r="E137" s="62" t="n">
        <v>480.5209847373999</v>
      </c>
      <c r="F137" s="62" t="n">
        <v>78.55148155173808</v>
      </c>
      <c r="G137" s="62" t="n">
        <v>140.2000460475144</v>
      </c>
      <c r="H137" s="62" t="n">
        <v>325.686530991764</v>
      </c>
      <c r="I137" s="62" t="n">
        <v>84.20882013007116</v>
      </c>
      <c r="J137" s="62" t="n">
        <v>332.4244805432772</v>
      </c>
      <c r="K137" s="62" t="n">
        <v>117.9403962276283</v>
      </c>
      <c r="L137" s="62" t="n">
        <v>189.0100000000001</v>
      </c>
      <c r="M137" s="62" t="n">
        <v>26.77000000000002</v>
      </c>
      <c r="N137" s="62" t="n">
        <v>190.0099999999998</v>
      </c>
      <c r="O137" s="62" t="n">
        <v>611.981428111903</v>
      </c>
      <c r="P137" s="62" t="n">
        <v>81.04999999999987</v>
      </c>
      <c r="Q137" s="62" t="n">
        <v>676.6502128871767</v>
      </c>
      <c r="R137" s="62" t="n">
        <v>271.0878019442186</v>
      </c>
      <c r="S137" s="62" t="n">
        <v>75.91999999999987</v>
      </c>
      <c r="T137" s="62" t="n">
        <v>170.6200000000003</v>
      </c>
      <c r="U137" s="62" t="n">
        <v>186.2700000000003</v>
      </c>
      <c r="V137" s="62" t="n">
        <v>23.68660876482631</v>
      </c>
      <c r="W137" s="62" t="n">
        <v>122.9999999999999</v>
      </c>
      <c r="X137" s="62" t="n">
        <v>103.7399999999999</v>
      </c>
      <c r="Y137" s="62" t="n">
        <v>1069.51</v>
      </c>
      <c r="Z137" s="62" t="n">
        <v>54.12278328045046</v>
      </c>
      <c r="AA137" s="62" t="n">
        <v>1058.45</v>
      </c>
      <c r="AB137" s="62" t="n">
        <v>366.9599999999996</v>
      </c>
      <c r="AC137" s="62" t="n">
        <v>68.56531990117686</v>
      </c>
      <c r="AD137" s="62" t="n">
        <v>139.2799999999997</v>
      </c>
      <c r="AE137" s="62" t="n">
        <v>110.7000000000001</v>
      </c>
      <c r="AF137" s="62" t="n">
        <v>148.2699999999999</v>
      </c>
      <c r="AG137" s="62" t="n">
        <v>91.58999999999995</v>
      </c>
      <c r="AH137" s="62" t="n">
        <v>37.76000000000003</v>
      </c>
      <c r="AI137" s="62" t="n">
        <v>299.7499999999995</v>
      </c>
      <c r="AJ137" s="62" t="n">
        <v>62.06999999999996</v>
      </c>
      <c r="AK137" s="62" t="n">
        <v>82.71000000000009</v>
      </c>
      <c r="AL137" s="62" t="n">
        <v>114.2199999999999</v>
      </c>
      <c r="AM137" s="62" t="n">
        <v>112.7200000000002</v>
      </c>
      <c r="AN137" s="62" t="n">
        <v>85.11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 ht="24" customHeight="1">
      <c r="A1" s="30" t="inlineStr">
        <is>
          <t>Date</t>
        </is>
      </c>
      <c r="B1" s="30" t="inlineStr">
        <is>
          <t>HD</t>
        </is>
      </c>
      <c r="C1" s="30" t="inlineStr">
        <is>
          <t>JNJ</t>
        </is>
      </c>
      <c r="D1" s="30" t="inlineStr">
        <is>
          <t>JPM</t>
        </is>
      </c>
      <c r="E1" s="30" t="inlineStr">
        <is>
          <t>MSFT</t>
        </is>
      </c>
      <c r="F1" s="30" t="inlineStr">
        <is>
          <t>NEE</t>
        </is>
      </c>
      <c r="G1" s="30" t="inlineStr">
        <is>
          <t>PG</t>
        </is>
      </c>
      <c r="H1" s="30" t="inlineStr">
        <is>
          <t>UNH</t>
        </is>
      </c>
      <c r="I1" s="30" t="inlineStr">
        <is>
          <t>USMV</t>
        </is>
      </c>
      <c r="J1" s="30" t="inlineStr">
        <is>
          <t>VTI</t>
        </is>
      </c>
      <c r="K1" s="30" t="inlineStr">
        <is>
          <t>XOM</t>
        </is>
      </c>
      <c r="L1" s="30" t="inlineStr">
        <is>
          <t>VTV</t>
        </is>
      </c>
      <c r="M1" s="30" t="inlineStr">
        <is>
          <t>SCHD</t>
        </is>
      </c>
      <c r="N1" s="30" t="inlineStr">
        <is>
          <t>RSP</t>
        </is>
      </c>
      <c r="O1" s="30" t="inlineStr">
        <is>
          <t>QQQ</t>
        </is>
      </c>
      <c r="P1" s="30" t="inlineStr">
        <is>
          <t>VUG</t>
        </is>
      </c>
      <c r="Q1" s="30" t="inlineStr">
        <is>
          <t>SPY</t>
        </is>
      </c>
      <c r="R1" s="30" t="inlineStr">
        <is>
          <t>AAPL</t>
        </is>
      </c>
      <c r="S1" s="30" t="inlineStr">
        <is>
          <t>CSCO</t>
        </is>
      </c>
      <c r="T1" s="30" t="inlineStr">
        <is>
          <t>TXN</t>
        </is>
      </c>
      <c r="U1" s="30" t="inlineStr">
        <is>
          <t>NVDA</t>
        </is>
      </c>
      <c r="V1" s="30" t="inlineStr">
        <is>
          <t>PFE</t>
        </is>
      </c>
      <c r="W1" s="30" t="inlineStr">
        <is>
          <t>ABT</t>
        </is>
      </c>
      <c r="X1" s="30" t="inlineStr">
        <is>
          <t>MRK</t>
        </is>
      </c>
      <c r="Y1" s="30" t="inlineStr">
        <is>
          <t>LLY</t>
        </is>
      </c>
      <c r="Z1" s="30" t="inlineStr">
        <is>
          <t>BAC</t>
        </is>
      </c>
      <c r="AA1" s="30" t="inlineStr">
        <is>
          <t>BLK</t>
        </is>
      </c>
      <c r="AB1" s="30" t="inlineStr">
        <is>
          <t>AXP</t>
        </is>
      </c>
      <c r="AC1" s="30" t="inlineStr">
        <is>
          <t>KO</t>
        </is>
      </c>
      <c r="AD1" s="30" t="inlineStr">
        <is>
          <t>PEP</t>
        </is>
      </c>
      <c r="AE1" s="30" t="inlineStr">
        <is>
          <t>WMT</t>
        </is>
      </c>
      <c r="AF1" s="30" t="inlineStr">
        <is>
          <t>CVX</t>
        </is>
      </c>
      <c r="AG1" s="30" t="inlineStr">
        <is>
          <t>COP</t>
        </is>
      </c>
      <c r="AH1" s="30" t="inlineStr">
        <is>
          <t>SLB</t>
        </is>
      </c>
      <c r="AI1" s="30" t="inlineStr">
        <is>
          <t>MCD</t>
        </is>
      </c>
      <c r="AJ1" s="30" t="inlineStr">
        <is>
          <t>NKE</t>
        </is>
      </c>
      <c r="AK1" s="30" t="inlineStr">
        <is>
          <t>SBUX</t>
        </is>
      </c>
      <c r="AL1" s="30" t="inlineStr">
        <is>
          <t>DUK</t>
        </is>
      </c>
      <c r="AM1" s="30" t="inlineStr">
        <is>
          <t>AEP</t>
        </is>
      </c>
      <c r="AN1" s="30" t="inlineStr">
        <is>
          <t>SO</t>
        </is>
      </c>
    </row>
    <row r="2">
      <c r="A2" s="31" t="inlineStr">
        <is>
          <t>2015-01-01</t>
        </is>
      </c>
      <c r="B2" s="32">
        <f>Raw_Adjusted_Prices!B6/Raw_Adjusted_Prices!B5-1</f>
        <v/>
      </c>
      <c r="C2" s="32">
        <f>Raw_Adjusted_Prices!C6/Raw_Adjusted_Prices!C5-1</f>
        <v/>
      </c>
      <c r="D2" s="32">
        <f>Raw_Adjusted_Prices!D6/Raw_Adjusted_Prices!D5-1</f>
        <v/>
      </c>
      <c r="E2" s="32">
        <f>Raw_Adjusted_Prices!E6/Raw_Adjusted_Prices!E5-1</f>
        <v/>
      </c>
      <c r="F2" s="32">
        <f>Raw_Adjusted_Prices!F6/Raw_Adjusted_Prices!F5-1</f>
        <v/>
      </c>
      <c r="G2" s="32">
        <f>Raw_Adjusted_Prices!G6/Raw_Adjusted_Prices!G5-1</f>
        <v/>
      </c>
      <c r="H2" s="32">
        <f>Raw_Adjusted_Prices!H6/Raw_Adjusted_Prices!H5-1</f>
        <v/>
      </c>
      <c r="I2" s="32">
        <f>Raw_Adjusted_Prices!I6/Raw_Adjusted_Prices!I5-1</f>
        <v/>
      </c>
      <c r="J2" s="32">
        <f>Raw_Adjusted_Prices!J6/Raw_Adjusted_Prices!J5-1</f>
        <v/>
      </c>
      <c r="K2" s="32">
        <f>Raw_Adjusted_Prices!K6/Raw_Adjusted_Prices!K5-1</f>
        <v/>
      </c>
      <c r="L2" s="32">
        <f>Raw_Adjusted_Prices!L6/Raw_Adjusted_Prices!L5-1</f>
        <v/>
      </c>
      <c r="M2" s="32">
        <f>Raw_Adjusted_Prices!M6/Raw_Adjusted_Prices!M5-1</f>
        <v/>
      </c>
      <c r="N2" s="32">
        <f>Raw_Adjusted_Prices!N6/Raw_Adjusted_Prices!N5-1</f>
        <v/>
      </c>
      <c r="O2" s="32">
        <f>Raw_Adjusted_Prices!O6/Raw_Adjusted_Prices!O5-1</f>
        <v/>
      </c>
      <c r="P2" s="32">
        <f>Raw_Adjusted_Prices!P6/Raw_Adjusted_Prices!P5-1</f>
        <v/>
      </c>
      <c r="Q2" s="32">
        <f>Raw_Adjusted_Prices!Q6/Raw_Adjusted_Prices!Q5-1</f>
        <v/>
      </c>
      <c r="R2" s="32">
        <f>Raw_Adjusted_Prices!R6/Raw_Adjusted_Prices!R5-1</f>
        <v/>
      </c>
      <c r="S2" s="32">
        <f>Raw_Adjusted_Prices!S6/Raw_Adjusted_Prices!S5-1</f>
        <v/>
      </c>
      <c r="T2" s="32">
        <f>Raw_Adjusted_Prices!T6/Raw_Adjusted_Prices!T5-1</f>
        <v/>
      </c>
      <c r="U2" s="32">
        <f>Raw_Adjusted_Prices!U6/Raw_Adjusted_Prices!U5-1</f>
        <v/>
      </c>
      <c r="V2" s="32">
        <f>Raw_Adjusted_Prices!V6/Raw_Adjusted_Prices!V5-1</f>
        <v/>
      </c>
      <c r="W2" s="32">
        <f>Raw_Adjusted_Prices!W6/Raw_Adjusted_Prices!W5-1</f>
        <v/>
      </c>
      <c r="X2" s="32">
        <f>Raw_Adjusted_Prices!X6/Raw_Adjusted_Prices!X5-1</f>
        <v/>
      </c>
      <c r="Y2" s="32">
        <f>Raw_Adjusted_Prices!Y6/Raw_Adjusted_Prices!Y5-1</f>
        <v/>
      </c>
      <c r="Z2" s="32">
        <f>Raw_Adjusted_Prices!Z6/Raw_Adjusted_Prices!Z5-1</f>
        <v/>
      </c>
      <c r="AA2" s="32">
        <f>Raw_Adjusted_Prices!AA6/Raw_Adjusted_Prices!AA5-1</f>
        <v/>
      </c>
      <c r="AB2" s="32">
        <f>Raw_Adjusted_Prices!AB6/Raw_Adjusted_Prices!AB5-1</f>
        <v/>
      </c>
      <c r="AC2" s="32">
        <f>Raw_Adjusted_Prices!AC6/Raw_Adjusted_Prices!AC5-1</f>
        <v/>
      </c>
      <c r="AD2" s="32">
        <f>Raw_Adjusted_Prices!AD6/Raw_Adjusted_Prices!AD5-1</f>
        <v/>
      </c>
      <c r="AE2" s="32">
        <f>Raw_Adjusted_Prices!AE6/Raw_Adjusted_Prices!AE5-1</f>
        <v/>
      </c>
      <c r="AF2" s="32">
        <f>Raw_Adjusted_Prices!AF6/Raw_Adjusted_Prices!AF5-1</f>
        <v/>
      </c>
      <c r="AG2" s="32">
        <f>Raw_Adjusted_Prices!AG6/Raw_Adjusted_Prices!AG5-1</f>
        <v/>
      </c>
      <c r="AH2" s="32">
        <f>Raw_Adjusted_Prices!AH6/Raw_Adjusted_Prices!AH5-1</f>
        <v/>
      </c>
      <c r="AI2" s="32">
        <f>Raw_Adjusted_Prices!AI6/Raw_Adjusted_Prices!AI5-1</f>
        <v/>
      </c>
      <c r="AJ2" s="32">
        <f>Raw_Adjusted_Prices!AJ6/Raw_Adjusted_Prices!AJ5-1</f>
        <v/>
      </c>
      <c r="AK2" s="32">
        <f>Raw_Adjusted_Prices!AK6/Raw_Adjusted_Prices!AK5-1</f>
        <v/>
      </c>
      <c r="AL2" s="32">
        <f>Raw_Adjusted_Prices!AL6/Raw_Adjusted_Prices!AL5-1</f>
        <v/>
      </c>
      <c r="AM2" s="32">
        <f>Raw_Adjusted_Prices!AM6/Raw_Adjusted_Prices!AM5-1</f>
        <v/>
      </c>
      <c r="AN2" s="32">
        <f>Raw_Adjusted_Prices!AN6/Raw_Adjusted_Prices!AN5-1</f>
        <v/>
      </c>
    </row>
    <row r="3">
      <c r="A3" s="31" t="inlineStr">
        <is>
          <t>2015-02-01</t>
        </is>
      </c>
      <c r="B3" s="32">
        <f>Raw_Adjusted_Prices!B7/Raw_Adjusted_Prices!B6-1</f>
        <v/>
      </c>
      <c r="C3" s="32">
        <f>Raw_Adjusted_Prices!C7/Raw_Adjusted_Prices!C6-1</f>
        <v/>
      </c>
      <c r="D3" s="32">
        <f>Raw_Adjusted_Prices!D7/Raw_Adjusted_Prices!D6-1</f>
        <v/>
      </c>
      <c r="E3" s="32">
        <f>Raw_Adjusted_Prices!E7/Raw_Adjusted_Prices!E6-1</f>
        <v/>
      </c>
      <c r="F3" s="32">
        <f>Raw_Adjusted_Prices!F7/Raw_Adjusted_Prices!F6-1</f>
        <v/>
      </c>
      <c r="G3" s="32">
        <f>Raw_Adjusted_Prices!G7/Raw_Adjusted_Prices!G6-1</f>
        <v/>
      </c>
      <c r="H3" s="32">
        <f>Raw_Adjusted_Prices!H7/Raw_Adjusted_Prices!H6-1</f>
        <v/>
      </c>
      <c r="I3" s="32">
        <f>Raw_Adjusted_Prices!I7/Raw_Adjusted_Prices!I6-1</f>
        <v/>
      </c>
      <c r="J3" s="32">
        <f>Raw_Adjusted_Prices!J7/Raw_Adjusted_Prices!J6-1</f>
        <v/>
      </c>
      <c r="K3" s="32">
        <f>Raw_Adjusted_Prices!K7/Raw_Adjusted_Prices!K6-1</f>
        <v/>
      </c>
      <c r="L3" s="32">
        <f>Raw_Adjusted_Prices!L7/Raw_Adjusted_Prices!L6-1</f>
        <v/>
      </c>
      <c r="M3" s="32">
        <f>Raw_Adjusted_Prices!M7/Raw_Adjusted_Prices!M6-1</f>
        <v/>
      </c>
      <c r="N3" s="32">
        <f>Raw_Adjusted_Prices!N7/Raw_Adjusted_Prices!N6-1</f>
        <v/>
      </c>
      <c r="O3" s="32">
        <f>Raw_Adjusted_Prices!O7/Raw_Adjusted_Prices!O6-1</f>
        <v/>
      </c>
      <c r="P3" s="32">
        <f>Raw_Adjusted_Prices!P7/Raw_Adjusted_Prices!P6-1</f>
        <v/>
      </c>
      <c r="Q3" s="32">
        <f>Raw_Adjusted_Prices!Q7/Raw_Adjusted_Prices!Q6-1</f>
        <v/>
      </c>
      <c r="R3" s="32">
        <f>Raw_Adjusted_Prices!R7/Raw_Adjusted_Prices!R6-1</f>
        <v/>
      </c>
      <c r="S3" s="32">
        <f>Raw_Adjusted_Prices!S7/Raw_Adjusted_Prices!S6-1</f>
        <v/>
      </c>
      <c r="T3" s="32">
        <f>Raw_Adjusted_Prices!T7/Raw_Adjusted_Prices!T6-1</f>
        <v/>
      </c>
      <c r="U3" s="32">
        <f>Raw_Adjusted_Prices!U7/Raw_Adjusted_Prices!U6-1</f>
        <v/>
      </c>
      <c r="V3" s="32">
        <f>Raw_Adjusted_Prices!V7/Raw_Adjusted_Prices!V6-1</f>
        <v/>
      </c>
      <c r="W3" s="32">
        <f>Raw_Adjusted_Prices!W7/Raw_Adjusted_Prices!W6-1</f>
        <v/>
      </c>
      <c r="X3" s="32">
        <f>Raw_Adjusted_Prices!X7/Raw_Adjusted_Prices!X6-1</f>
        <v/>
      </c>
      <c r="Y3" s="32">
        <f>Raw_Adjusted_Prices!Y7/Raw_Adjusted_Prices!Y6-1</f>
        <v/>
      </c>
      <c r="Z3" s="32">
        <f>Raw_Adjusted_Prices!Z7/Raw_Adjusted_Prices!Z6-1</f>
        <v/>
      </c>
      <c r="AA3" s="32">
        <f>Raw_Adjusted_Prices!AA7/Raw_Adjusted_Prices!AA6-1</f>
        <v/>
      </c>
      <c r="AB3" s="32">
        <f>Raw_Adjusted_Prices!AB7/Raw_Adjusted_Prices!AB6-1</f>
        <v/>
      </c>
      <c r="AC3" s="32">
        <f>Raw_Adjusted_Prices!AC7/Raw_Adjusted_Prices!AC6-1</f>
        <v/>
      </c>
      <c r="AD3" s="32">
        <f>Raw_Adjusted_Prices!AD7/Raw_Adjusted_Prices!AD6-1</f>
        <v/>
      </c>
      <c r="AE3" s="32">
        <f>Raw_Adjusted_Prices!AE7/Raw_Adjusted_Prices!AE6-1</f>
        <v/>
      </c>
      <c r="AF3" s="32">
        <f>Raw_Adjusted_Prices!AF7/Raw_Adjusted_Prices!AF6-1</f>
        <v/>
      </c>
      <c r="AG3" s="32">
        <f>Raw_Adjusted_Prices!AG7/Raw_Adjusted_Prices!AG6-1</f>
        <v/>
      </c>
      <c r="AH3" s="32">
        <f>Raw_Adjusted_Prices!AH7/Raw_Adjusted_Prices!AH6-1</f>
        <v/>
      </c>
      <c r="AI3" s="32">
        <f>Raw_Adjusted_Prices!AI7/Raw_Adjusted_Prices!AI6-1</f>
        <v/>
      </c>
      <c r="AJ3" s="32">
        <f>Raw_Adjusted_Prices!AJ7/Raw_Adjusted_Prices!AJ6-1</f>
        <v/>
      </c>
      <c r="AK3" s="32">
        <f>Raw_Adjusted_Prices!AK7/Raw_Adjusted_Prices!AK6-1</f>
        <v/>
      </c>
      <c r="AL3" s="32">
        <f>Raw_Adjusted_Prices!AL7/Raw_Adjusted_Prices!AL6-1</f>
        <v/>
      </c>
      <c r="AM3" s="32">
        <f>Raw_Adjusted_Prices!AM7/Raw_Adjusted_Prices!AM6-1</f>
        <v/>
      </c>
      <c r="AN3" s="32">
        <f>Raw_Adjusted_Prices!AN7/Raw_Adjusted_Prices!AN6-1</f>
        <v/>
      </c>
    </row>
    <row r="4">
      <c r="A4" s="31" t="inlineStr">
        <is>
          <t>2015-03-01</t>
        </is>
      </c>
      <c r="B4" s="32">
        <f>Raw_Adjusted_Prices!B8/Raw_Adjusted_Prices!B7-1</f>
        <v/>
      </c>
      <c r="C4" s="32">
        <f>Raw_Adjusted_Prices!C8/Raw_Adjusted_Prices!C7-1</f>
        <v/>
      </c>
      <c r="D4" s="32">
        <f>Raw_Adjusted_Prices!D8/Raw_Adjusted_Prices!D7-1</f>
        <v/>
      </c>
      <c r="E4" s="32">
        <f>Raw_Adjusted_Prices!E8/Raw_Adjusted_Prices!E7-1</f>
        <v/>
      </c>
      <c r="F4" s="32">
        <f>Raw_Adjusted_Prices!F8/Raw_Adjusted_Prices!F7-1</f>
        <v/>
      </c>
      <c r="G4" s="32">
        <f>Raw_Adjusted_Prices!G8/Raw_Adjusted_Prices!G7-1</f>
        <v/>
      </c>
      <c r="H4" s="32">
        <f>Raw_Adjusted_Prices!H8/Raw_Adjusted_Prices!H7-1</f>
        <v/>
      </c>
      <c r="I4" s="32">
        <f>Raw_Adjusted_Prices!I8/Raw_Adjusted_Prices!I7-1</f>
        <v/>
      </c>
      <c r="J4" s="32">
        <f>Raw_Adjusted_Prices!J8/Raw_Adjusted_Prices!J7-1</f>
        <v/>
      </c>
      <c r="K4" s="32">
        <f>Raw_Adjusted_Prices!K8/Raw_Adjusted_Prices!K7-1</f>
        <v/>
      </c>
      <c r="L4" s="32">
        <f>Raw_Adjusted_Prices!L8/Raw_Adjusted_Prices!L7-1</f>
        <v/>
      </c>
      <c r="M4" s="32">
        <f>Raw_Adjusted_Prices!M8/Raw_Adjusted_Prices!M7-1</f>
        <v/>
      </c>
      <c r="N4" s="32">
        <f>Raw_Adjusted_Prices!N8/Raw_Adjusted_Prices!N7-1</f>
        <v/>
      </c>
      <c r="O4" s="32">
        <f>Raw_Adjusted_Prices!O8/Raw_Adjusted_Prices!O7-1</f>
        <v/>
      </c>
      <c r="P4" s="32">
        <f>Raw_Adjusted_Prices!P8/Raw_Adjusted_Prices!P7-1</f>
        <v/>
      </c>
      <c r="Q4" s="32">
        <f>Raw_Adjusted_Prices!Q8/Raw_Adjusted_Prices!Q7-1</f>
        <v/>
      </c>
      <c r="R4" s="32">
        <f>Raw_Adjusted_Prices!R8/Raw_Adjusted_Prices!R7-1</f>
        <v/>
      </c>
      <c r="S4" s="32">
        <f>Raw_Adjusted_Prices!S8/Raw_Adjusted_Prices!S7-1</f>
        <v/>
      </c>
      <c r="T4" s="32">
        <f>Raw_Adjusted_Prices!T8/Raw_Adjusted_Prices!T7-1</f>
        <v/>
      </c>
      <c r="U4" s="32">
        <f>Raw_Adjusted_Prices!U8/Raw_Adjusted_Prices!U7-1</f>
        <v/>
      </c>
      <c r="V4" s="32">
        <f>Raw_Adjusted_Prices!V8/Raw_Adjusted_Prices!V7-1</f>
        <v/>
      </c>
      <c r="W4" s="32">
        <f>Raw_Adjusted_Prices!W8/Raw_Adjusted_Prices!W7-1</f>
        <v/>
      </c>
      <c r="X4" s="32">
        <f>Raw_Adjusted_Prices!X8/Raw_Adjusted_Prices!X7-1</f>
        <v/>
      </c>
      <c r="Y4" s="32">
        <f>Raw_Adjusted_Prices!Y8/Raw_Adjusted_Prices!Y7-1</f>
        <v/>
      </c>
      <c r="Z4" s="32">
        <f>Raw_Adjusted_Prices!Z8/Raw_Adjusted_Prices!Z7-1</f>
        <v/>
      </c>
      <c r="AA4" s="32">
        <f>Raw_Adjusted_Prices!AA8/Raw_Adjusted_Prices!AA7-1</f>
        <v/>
      </c>
      <c r="AB4" s="32">
        <f>Raw_Adjusted_Prices!AB8/Raw_Adjusted_Prices!AB7-1</f>
        <v/>
      </c>
      <c r="AC4" s="32">
        <f>Raw_Adjusted_Prices!AC8/Raw_Adjusted_Prices!AC7-1</f>
        <v/>
      </c>
      <c r="AD4" s="32">
        <f>Raw_Adjusted_Prices!AD8/Raw_Adjusted_Prices!AD7-1</f>
        <v/>
      </c>
      <c r="AE4" s="32">
        <f>Raw_Adjusted_Prices!AE8/Raw_Adjusted_Prices!AE7-1</f>
        <v/>
      </c>
      <c r="AF4" s="32">
        <f>Raw_Adjusted_Prices!AF8/Raw_Adjusted_Prices!AF7-1</f>
        <v/>
      </c>
      <c r="AG4" s="32">
        <f>Raw_Adjusted_Prices!AG8/Raw_Adjusted_Prices!AG7-1</f>
        <v/>
      </c>
      <c r="AH4" s="32">
        <f>Raw_Adjusted_Prices!AH8/Raw_Adjusted_Prices!AH7-1</f>
        <v/>
      </c>
      <c r="AI4" s="32">
        <f>Raw_Adjusted_Prices!AI8/Raw_Adjusted_Prices!AI7-1</f>
        <v/>
      </c>
      <c r="AJ4" s="32">
        <f>Raw_Adjusted_Prices!AJ8/Raw_Adjusted_Prices!AJ7-1</f>
        <v/>
      </c>
      <c r="AK4" s="32">
        <f>Raw_Adjusted_Prices!AK8/Raw_Adjusted_Prices!AK7-1</f>
        <v/>
      </c>
      <c r="AL4" s="32">
        <f>Raw_Adjusted_Prices!AL8/Raw_Adjusted_Prices!AL7-1</f>
        <v/>
      </c>
      <c r="AM4" s="32">
        <f>Raw_Adjusted_Prices!AM8/Raw_Adjusted_Prices!AM7-1</f>
        <v/>
      </c>
      <c r="AN4" s="32">
        <f>Raw_Adjusted_Prices!AN8/Raw_Adjusted_Prices!AN7-1</f>
        <v/>
      </c>
    </row>
    <row r="5">
      <c r="A5" s="31" t="inlineStr">
        <is>
          <t>2015-04-01</t>
        </is>
      </c>
      <c r="B5" s="32">
        <f>Raw_Adjusted_Prices!B9/Raw_Adjusted_Prices!B8-1</f>
        <v/>
      </c>
      <c r="C5" s="32">
        <f>Raw_Adjusted_Prices!C9/Raw_Adjusted_Prices!C8-1</f>
        <v/>
      </c>
      <c r="D5" s="32">
        <f>Raw_Adjusted_Prices!D9/Raw_Adjusted_Prices!D8-1</f>
        <v/>
      </c>
      <c r="E5" s="32">
        <f>Raw_Adjusted_Prices!E9/Raw_Adjusted_Prices!E8-1</f>
        <v/>
      </c>
      <c r="F5" s="32">
        <f>Raw_Adjusted_Prices!F9/Raw_Adjusted_Prices!F8-1</f>
        <v/>
      </c>
      <c r="G5" s="32">
        <f>Raw_Adjusted_Prices!G9/Raw_Adjusted_Prices!G8-1</f>
        <v/>
      </c>
      <c r="H5" s="32">
        <f>Raw_Adjusted_Prices!H9/Raw_Adjusted_Prices!H8-1</f>
        <v/>
      </c>
      <c r="I5" s="32">
        <f>Raw_Adjusted_Prices!I9/Raw_Adjusted_Prices!I8-1</f>
        <v/>
      </c>
      <c r="J5" s="32">
        <f>Raw_Adjusted_Prices!J9/Raw_Adjusted_Prices!J8-1</f>
        <v/>
      </c>
      <c r="K5" s="32">
        <f>Raw_Adjusted_Prices!K9/Raw_Adjusted_Prices!K8-1</f>
        <v/>
      </c>
      <c r="L5" s="32">
        <f>Raw_Adjusted_Prices!L9/Raw_Adjusted_Prices!L8-1</f>
        <v/>
      </c>
      <c r="M5" s="32">
        <f>Raw_Adjusted_Prices!M9/Raw_Adjusted_Prices!M8-1</f>
        <v/>
      </c>
      <c r="N5" s="32">
        <f>Raw_Adjusted_Prices!N9/Raw_Adjusted_Prices!N8-1</f>
        <v/>
      </c>
      <c r="O5" s="32">
        <f>Raw_Adjusted_Prices!O9/Raw_Adjusted_Prices!O8-1</f>
        <v/>
      </c>
      <c r="P5" s="32">
        <f>Raw_Adjusted_Prices!P9/Raw_Adjusted_Prices!P8-1</f>
        <v/>
      </c>
      <c r="Q5" s="32">
        <f>Raw_Adjusted_Prices!Q9/Raw_Adjusted_Prices!Q8-1</f>
        <v/>
      </c>
      <c r="R5" s="32">
        <f>Raw_Adjusted_Prices!R9/Raw_Adjusted_Prices!R8-1</f>
        <v/>
      </c>
      <c r="S5" s="32">
        <f>Raw_Adjusted_Prices!S9/Raw_Adjusted_Prices!S8-1</f>
        <v/>
      </c>
      <c r="T5" s="32">
        <f>Raw_Adjusted_Prices!T9/Raw_Adjusted_Prices!T8-1</f>
        <v/>
      </c>
      <c r="U5" s="32">
        <f>Raw_Adjusted_Prices!U9/Raw_Adjusted_Prices!U8-1</f>
        <v/>
      </c>
      <c r="V5" s="32">
        <f>Raw_Adjusted_Prices!V9/Raw_Adjusted_Prices!V8-1</f>
        <v/>
      </c>
      <c r="W5" s="32">
        <f>Raw_Adjusted_Prices!W9/Raw_Adjusted_Prices!W8-1</f>
        <v/>
      </c>
      <c r="X5" s="32">
        <f>Raw_Adjusted_Prices!X9/Raw_Adjusted_Prices!X8-1</f>
        <v/>
      </c>
      <c r="Y5" s="32">
        <f>Raw_Adjusted_Prices!Y9/Raw_Adjusted_Prices!Y8-1</f>
        <v/>
      </c>
      <c r="Z5" s="32">
        <f>Raw_Adjusted_Prices!Z9/Raw_Adjusted_Prices!Z8-1</f>
        <v/>
      </c>
      <c r="AA5" s="32">
        <f>Raw_Adjusted_Prices!AA9/Raw_Adjusted_Prices!AA8-1</f>
        <v/>
      </c>
      <c r="AB5" s="32">
        <f>Raw_Adjusted_Prices!AB9/Raw_Adjusted_Prices!AB8-1</f>
        <v/>
      </c>
      <c r="AC5" s="32">
        <f>Raw_Adjusted_Prices!AC9/Raw_Adjusted_Prices!AC8-1</f>
        <v/>
      </c>
      <c r="AD5" s="32">
        <f>Raw_Adjusted_Prices!AD9/Raw_Adjusted_Prices!AD8-1</f>
        <v/>
      </c>
      <c r="AE5" s="32">
        <f>Raw_Adjusted_Prices!AE9/Raw_Adjusted_Prices!AE8-1</f>
        <v/>
      </c>
      <c r="AF5" s="32">
        <f>Raw_Adjusted_Prices!AF9/Raw_Adjusted_Prices!AF8-1</f>
        <v/>
      </c>
      <c r="AG5" s="32">
        <f>Raw_Adjusted_Prices!AG9/Raw_Adjusted_Prices!AG8-1</f>
        <v/>
      </c>
      <c r="AH5" s="32">
        <f>Raw_Adjusted_Prices!AH9/Raw_Adjusted_Prices!AH8-1</f>
        <v/>
      </c>
      <c r="AI5" s="32">
        <f>Raw_Adjusted_Prices!AI9/Raw_Adjusted_Prices!AI8-1</f>
        <v/>
      </c>
      <c r="AJ5" s="32">
        <f>Raw_Adjusted_Prices!AJ9/Raw_Adjusted_Prices!AJ8-1</f>
        <v/>
      </c>
      <c r="AK5" s="32">
        <f>Raw_Adjusted_Prices!AK9/Raw_Adjusted_Prices!AK8-1</f>
        <v/>
      </c>
      <c r="AL5" s="32">
        <f>Raw_Adjusted_Prices!AL9/Raw_Adjusted_Prices!AL8-1</f>
        <v/>
      </c>
      <c r="AM5" s="32">
        <f>Raw_Adjusted_Prices!AM9/Raw_Adjusted_Prices!AM8-1</f>
        <v/>
      </c>
      <c r="AN5" s="32">
        <f>Raw_Adjusted_Prices!AN9/Raw_Adjusted_Prices!AN8-1</f>
        <v/>
      </c>
    </row>
    <row r="6">
      <c r="A6" s="31" t="inlineStr">
        <is>
          <t>2015-05-01</t>
        </is>
      </c>
      <c r="B6" s="32">
        <f>Raw_Adjusted_Prices!B10/Raw_Adjusted_Prices!B9-1</f>
        <v/>
      </c>
      <c r="C6" s="32">
        <f>Raw_Adjusted_Prices!C10/Raw_Adjusted_Prices!C9-1</f>
        <v/>
      </c>
      <c r="D6" s="32">
        <f>Raw_Adjusted_Prices!D10/Raw_Adjusted_Prices!D9-1</f>
        <v/>
      </c>
      <c r="E6" s="32">
        <f>Raw_Adjusted_Prices!E10/Raw_Adjusted_Prices!E9-1</f>
        <v/>
      </c>
      <c r="F6" s="32">
        <f>Raw_Adjusted_Prices!F10/Raw_Adjusted_Prices!F9-1</f>
        <v/>
      </c>
      <c r="G6" s="32">
        <f>Raw_Adjusted_Prices!G10/Raw_Adjusted_Prices!G9-1</f>
        <v/>
      </c>
      <c r="H6" s="32">
        <f>Raw_Adjusted_Prices!H10/Raw_Adjusted_Prices!H9-1</f>
        <v/>
      </c>
      <c r="I6" s="32">
        <f>Raw_Adjusted_Prices!I10/Raw_Adjusted_Prices!I9-1</f>
        <v/>
      </c>
      <c r="J6" s="32">
        <f>Raw_Adjusted_Prices!J10/Raw_Adjusted_Prices!J9-1</f>
        <v/>
      </c>
      <c r="K6" s="32">
        <f>Raw_Adjusted_Prices!K10/Raw_Adjusted_Prices!K9-1</f>
        <v/>
      </c>
      <c r="L6" s="32">
        <f>Raw_Adjusted_Prices!L10/Raw_Adjusted_Prices!L9-1</f>
        <v/>
      </c>
      <c r="M6" s="32">
        <f>Raw_Adjusted_Prices!M10/Raw_Adjusted_Prices!M9-1</f>
        <v/>
      </c>
      <c r="N6" s="32">
        <f>Raw_Adjusted_Prices!N10/Raw_Adjusted_Prices!N9-1</f>
        <v/>
      </c>
      <c r="O6" s="32">
        <f>Raw_Adjusted_Prices!O10/Raw_Adjusted_Prices!O9-1</f>
        <v/>
      </c>
      <c r="P6" s="32">
        <f>Raw_Adjusted_Prices!P10/Raw_Adjusted_Prices!P9-1</f>
        <v/>
      </c>
      <c r="Q6" s="32">
        <f>Raw_Adjusted_Prices!Q10/Raw_Adjusted_Prices!Q9-1</f>
        <v/>
      </c>
      <c r="R6" s="32">
        <f>Raw_Adjusted_Prices!R10/Raw_Adjusted_Prices!R9-1</f>
        <v/>
      </c>
      <c r="S6" s="32">
        <f>Raw_Adjusted_Prices!S10/Raw_Adjusted_Prices!S9-1</f>
        <v/>
      </c>
      <c r="T6" s="32">
        <f>Raw_Adjusted_Prices!T10/Raw_Adjusted_Prices!T9-1</f>
        <v/>
      </c>
      <c r="U6" s="32">
        <f>Raw_Adjusted_Prices!U10/Raw_Adjusted_Prices!U9-1</f>
        <v/>
      </c>
      <c r="V6" s="32">
        <f>Raw_Adjusted_Prices!V10/Raw_Adjusted_Prices!V9-1</f>
        <v/>
      </c>
      <c r="W6" s="32">
        <f>Raw_Adjusted_Prices!W10/Raw_Adjusted_Prices!W9-1</f>
        <v/>
      </c>
      <c r="X6" s="32">
        <f>Raw_Adjusted_Prices!X10/Raw_Adjusted_Prices!X9-1</f>
        <v/>
      </c>
      <c r="Y6" s="32">
        <f>Raw_Adjusted_Prices!Y10/Raw_Adjusted_Prices!Y9-1</f>
        <v/>
      </c>
      <c r="Z6" s="32">
        <f>Raw_Adjusted_Prices!Z10/Raw_Adjusted_Prices!Z9-1</f>
        <v/>
      </c>
      <c r="AA6" s="32">
        <f>Raw_Adjusted_Prices!AA10/Raw_Adjusted_Prices!AA9-1</f>
        <v/>
      </c>
      <c r="AB6" s="32">
        <f>Raw_Adjusted_Prices!AB10/Raw_Adjusted_Prices!AB9-1</f>
        <v/>
      </c>
      <c r="AC6" s="32">
        <f>Raw_Adjusted_Prices!AC10/Raw_Adjusted_Prices!AC9-1</f>
        <v/>
      </c>
      <c r="AD6" s="32">
        <f>Raw_Adjusted_Prices!AD10/Raw_Adjusted_Prices!AD9-1</f>
        <v/>
      </c>
      <c r="AE6" s="32">
        <f>Raw_Adjusted_Prices!AE10/Raw_Adjusted_Prices!AE9-1</f>
        <v/>
      </c>
      <c r="AF6" s="32">
        <f>Raw_Adjusted_Prices!AF10/Raw_Adjusted_Prices!AF9-1</f>
        <v/>
      </c>
      <c r="AG6" s="32">
        <f>Raw_Adjusted_Prices!AG10/Raw_Adjusted_Prices!AG9-1</f>
        <v/>
      </c>
      <c r="AH6" s="32">
        <f>Raw_Adjusted_Prices!AH10/Raw_Adjusted_Prices!AH9-1</f>
        <v/>
      </c>
      <c r="AI6" s="32">
        <f>Raw_Adjusted_Prices!AI10/Raw_Adjusted_Prices!AI9-1</f>
        <v/>
      </c>
      <c r="AJ6" s="32">
        <f>Raw_Adjusted_Prices!AJ10/Raw_Adjusted_Prices!AJ9-1</f>
        <v/>
      </c>
      <c r="AK6" s="32">
        <f>Raw_Adjusted_Prices!AK10/Raw_Adjusted_Prices!AK9-1</f>
        <v/>
      </c>
      <c r="AL6" s="32">
        <f>Raw_Adjusted_Prices!AL10/Raw_Adjusted_Prices!AL9-1</f>
        <v/>
      </c>
      <c r="AM6" s="32">
        <f>Raw_Adjusted_Prices!AM10/Raw_Adjusted_Prices!AM9-1</f>
        <v/>
      </c>
      <c r="AN6" s="32">
        <f>Raw_Adjusted_Prices!AN10/Raw_Adjusted_Prices!AN9-1</f>
        <v/>
      </c>
    </row>
    <row r="7">
      <c r="A7" s="31" t="inlineStr">
        <is>
          <t>2015-06-01</t>
        </is>
      </c>
      <c r="B7" s="32">
        <f>Raw_Adjusted_Prices!B11/Raw_Adjusted_Prices!B10-1</f>
        <v/>
      </c>
      <c r="C7" s="32">
        <f>Raw_Adjusted_Prices!C11/Raw_Adjusted_Prices!C10-1</f>
        <v/>
      </c>
      <c r="D7" s="32">
        <f>Raw_Adjusted_Prices!D11/Raw_Adjusted_Prices!D10-1</f>
        <v/>
      </c>
      <c r="E7" s="32">
        <f>Raw_Adjusted_Prices!E11/Raw_Adjusted_Prices!E10-1</f>
        <v/>
      </c>
      <c r="F7" s="32">
        <f>Raw_Adjusted_Prices!F11/Raw_Adjusted_Prices!F10-1</f>
        <v/>
      </c>
      <c r="G7" s="32">
        <f>Raw_Adjusted_Prices!G11/Raw_Adjusted_Prices!G10-1</f>
        <v/>
      </c>
      <c r="H7" s="32">
        <f>Raw_Adjusted_Prices!H11/Raw_Adjusted_Prices!H10-1</f>
        <v/>
      </c>
      <c r="I7" s="32">
        <f>Raw_Adjusted_Prices!I11/Raw_Adjusted_Prices!I10-1</f>
        <v/>
      </c>
      <c r="J7" s="32">
        <f>Raw_Adjusted_Prices!J11/Raw_Adjusted_Prices!J10-1</f>
        <v/>
      </c>
      <c r="K7" s="32">
        <f>Raw_Adjusted_Prices!K11/Raw_Adjusted_Prices!K10-1</f>
        <v/>
      </c>
      <c r="L7" s="32">
        <f>Raw_Adjusted_Prices!L11/Raw_Adjusted_Prices!L10-1</f>
        <v/>
      </c>
      <c r="M7" s="32">
        <f>Raw_Adjusted_Prices!M11/Raw_Adjusted_Prices!M10-1</f>
        <v/>
      </c>
      <c r="N7" s="32">
        <f>Raw_Adjusted_Prices!N11/Raw_Adjusted_Prices!N10-1</f>
        <v/>
      </c>
      <c r="O7" s="32">
        <f>Raw_Adjusted_Prices!O11/Raw_Adjusted_Prices!O10-1</f>
        <v/>
      </c>
      <c r="P7" s="32">
        <f>Raw_Adjusted_Prices!P11/Raw_Adjusted_Prices!P10-1</f>
        <v/>
      </c>
      <c r="Q7" s="32">
        <f>Raw_Adjusted_Prices!Q11/Raw_Adjusted_Prices!Q10-1</f>
        <v/>
      </c>
      <c r="R7" s="32">
        <f>Raw_Adjusted_Prices!R11/Raw_Adjusted_Prices!R10-1</f>
        <v/>
      </c>
      <c r="S7" s="32">
        <f>Raw_Adjusted_Prices!S11/Raw_Adjusted_Prices!S10-1</f>
        <v/>
      </c>
      <c r="T7" s="32">
        <f>Raw_Adjusted_Prices!T11/Raw_Adjusted_Prices!T10-1</f>
        <v/>
      </c>
      <c r="U7" s="32">
        <f>Raw_Adjusted_Prices!U11/Raw_Adjusted_Prices!U10-1</f>
        <v/>
      </c>
      <c r="V7" s="32">
        <f>Raw_Adjusted_Prices!V11/Raw_Adjusted_Prices!V10-1</f>
        <v/>
      </c>
      <c r="W7" s="32">
        <f>Raw_Adjusted_Prices!W11/Raw_Adjusted_Prices!W10-1</f>
        <v/>
      </c>
      <c r="X7" s="32">
        <f>Raw_Adjusted_Prices!X11/Raw_Adjusted_Prices!X10-1</f>
        <v/>
      </c>
      <c r="Y7" s="32">
        <f>Raw_Adjusted_Prices!Y11/Raw_Adjusted_Prices!Y10-1</f>
        <v/>
      </c>
      <c r="Z7" s="32">
        <f>Raw_Adjusted_Prices!Z11/Raw_Adjusted_Prices!Z10-1</f>
        <v/>
      </c>
      <c r="AA7" s="32">
        <f>Raw_Adjusted_Prices!AA11/Raw_Adjusted_Prices!AA10-1</f>
        <v/>
      </c>
      <c r="AB7" s="32">
        <f>Raw_Adjusted_Prices!AB11/Raw_Adjusted_Prices!AB10-1</f>
        <v/>
      </c>
      <c r="AC7" s="32">
        <f>Raw_Adjusted_Prices!AC11/Raw_Adjusted_Prices!AC10-1</f>
        <v/>
      </c>
      <c r="AD7" s="32">
        <f>Raw_Adjusted_Prices!AD11/Raw_Adjusted_Prices!AD10-1</f>
        <v/>
      </c>
      <c r="AE7" s="32">
        <f>Raw_Adjusted_Prices!AE11/Raw_Adjusted_Prices!AE10-1</f>
        <v/>
      </c>
      <c r="AF7" s="32">
        <f>Raw_Adjusted_Prices!AF11/Raw_Adjusted_Prices!AF10-1</f>
        <v/>
      </c>
      <c r="AG7" s="32">
        <f>Raw_Adjusted_Prices!AG11/Raw_Adjusted_Prices!AG10-1</f>
        <v/>
      </c>
      <c r="AH7" s="32">
        <f>Raw_Adjusted_Prices!AH11/Raw_Adjusted_Prices!AH10-1</f>
        <v/>
      </c>
      <c r="AI7" s="32">
        <f>Raw_Adjusted_Prices!AI11/Raw_Adjusted_Prices!AI10-1</f>
        <v/>
      </c>
      <c r="AJ7" s="32">
        <f>Raw_Adjusted_Prices!AJ11/Raw_Adjusted_Prices!AJ10-1</f>
        <v/>
      </c>
      <c r="AK7" s="32">
        <f>Raw_Adjusted_Prices!AK11/Raw_Adjusted_Prices!AK10-1</f>
        <v/>
      </c>
      <c r="AL7" s="32">
        <f>Raw_Adjusted_Prices!AL11/Raw_Adjusted_Prices!AL10-1</f>
        <v/>
      </c>
      <c r="AM7" s="32">
        <f>Raw_Adjusted_Prices!AM11/Raw_Adjusted_Prices!AM10-1</f>
        <v/>
      </c>
      <c r="AN7" s="32">
        <f>Raw_Adjusted_Prices!AN11/Raw_Adjusted_Prices!AN10-1</f>
        <v/>
      </c>
    </row>
    <row r="8">
      <c r="A8" s="31" t="inlineStr">
        <is>
          <t>2015-07-01</t>
        </is>
      </c>
      <c r="B8" s="32">
        <f>Raw_Adjusted_Prices!B12/Raw_Adjusted_Prices!B11-1</f>
        <v/>
      </c>
      <c r="C8" s="32">
        <f>Raw_Adjusted_Prices!C12/Raw_Adjusted_Prices!C11-1</f>
        <v/>
      </c>
      <c r="D8" s="32">
        <f>Raw_Adjusted_Prices!D12/Raw_Adjusted_Prices!D11-1</f>
        <v/>
      </c>
      <c r="E8" s="32">
        <f>Raw_Adjusted_Prices!E12/Raw_Adjusted_Prices!E11-1</f>
        <v/>
      </c>
      <c r="F8" s="32">
        <f>Raw_Adjusted_Prices!F12/Raw_Adjusted_Prices!F11-1</f>
        <v/>
      </c>
      <c r="G8" s="32">
        <f>Raw_Adjusted_Prices!G12/Raw_Adjusted_Prices!G11-1</f>
        <v/>
      </c>
      <c r="H8" s="32">
        <f>Raw_Adjusted_Prices!H12/Raw_Adjusted_Prices!H11-1</f>
        <v/>
      </c>
      <c r="I8" s="32">
        <f>Raw_Adjusted_Prices!I12/Raw_Adjusted_Prices!I11-1</f>
        <v/>
      </c>
      <c r="J8" s="32">
        <f>Raw_Adjusted_Prices!J12/Raw_Adjusted_Prices!J11-1</f>
        <v/>
      </c>
      <c r="K8" s="32">
        <f>Raw_Adjusted_Prices!K12/Raw_Adjusted_Prices!K11-1</f>
        <v/>
      </c>
      <c r="L8" s="32">
        <f>Raw_Adjusted_Prices!L12/Raw_Adjusted_Prices!L11-1</f>
        <v/>
      </c>
      <c r="M8" s="32">
        <f>Raw_Adjusted_Prices!M12/Raw_Adjusted_Prices!M11-1</f>
        <v/>
      </c>
      <c r="N8" s="32">
        <f>Raw_Adjusted_Prices!N12/Raw_Adjusted_Prices!N11-1</f>
        <v/>
      </c>
      <c r="O8" s="32">
        <f>Raw_Adjusted_Prices!O12/Raw_Adjusted_Prices!O11-1</f>
        <v/>
      </c>
      <c r="P8" s="32">
        <f>Raw_Adjusted_Prices!P12/Raw_Adjusted_Prices!P11-1</f>
        <v/>
      </c>
      <c r="Q8" s="32">
        <f>Raw_Adjusted_Prices!Q12/Raw_Adjusted_Prices!Q11-1</f>
        <v/>
      </c>
      <c r="R8" s="32">
        <f>Raw_Adjusted_Prices!R12/Raw_Adjusted_Prices!R11-1</f>
        <v/>
      </c>
      <c r="S8" s="32">
        <f>Raw_Adjusted_Prices!S12/Raw_Adjusted_Prices!S11-1</f>
        <v/>
      </c>
      <c r="T8" s="32">
        <f>Raw_Adjusted_Prices!T12/Raw_Adjusted_Prices!T11-1</f>
        <v/>
      </c>
      <c r="U8" s="32">
        <f>Raw_Adjusted_Prices!U12/Raw_Adjusted_Prices!U11-1</f>
        <v/>
      </c>
      <c r="V8" s="32">
        <f>Raw_Adjusted_Prices!V12/Raw_Adjusted_Prices!V11-1</f>
        <v/>
      </c>
      <c r="W8" s="32">
        <f>Raw_Adjusted_Prices!W12/Raw_Adjusted_Prices!W11-1</f>
        <v/>
      </c>
      <c r="X8" s="32">
        <f>Raw_Adjusted_Prices!X12/Raw_Adjusted_Prices!X11-1</f>
        <v/>
      </c>
      <c r="Y8" s="32">
        <f>Raw_Adjusted_Prices!Y12/Raw_Adjusted_Prices!Y11-1</f>
        <v/>
      </c>
      <c r="Z8" s="32">
        <f>Raw_Adjusted_Prices!Z12/Raw_Adjusted_Prices!Z11-1</f>
        <v/>
      </c>
      <c r="AA8" s="32">
        <f>Raw_Adjusted_Prices!AA12/Raw_Adjusted_Prices!AA11-1</f>
        <v/>
      </c>
      <c r="AB8" s="32">
        <f>Raw_Adjusted_Prices!AB12/Raw_Adjusted_Prices!AB11-1</f>
        <v/>
      </c>
      <c r="AC8" s="32">
        <f>Raw_Adjusted_Prices!AC12/Raw_Adjusted_Prices!AC11-1</f>
        <v/>
      </c>
      <c r="AD8" s="32">
        <f>Raw_Adjusted_Prices!AD12/Raw_Adjusted_Prices!AD11-1</f>
        <v/>
      </c>
      <c r="AE8" s="32">
        <f>Raw_Adjusted_Prices!AE12/Raw_Adjusted_Prices!AE11-1</f>
        <v/>
      </c>
      <c r="AF8" s="32">
        <f>Raw_Adjusted_Prices!AF12/Raw_Adjusted_Prices!AF11-1</f>
        <v/>
      </c>
      <c r="AG8" s="32">
        <f>Raw_Adjusted_Prices!AG12/Raw_Adjusted_Prices!AG11-1</f>
        <v/>
      </c>
      <c r="AH8" s="32">
        <f>Raw_Adjusted_Prices!AH12/Raw_Adjusted_Prices!AH11-1</f>
        <v/>
      </c>
      <c r="AI8" s="32">
        <f>Raw_Adjusted_Prices!AI12/Raw_Adjusted_Prices!AI11-1</f>
        <v/>
      </c>
      <c r="AJ8" s="32">
        <f>Raw_Adjusted_Prices!AJ12/Raw_Adjusted_Prices!AJ11-1</f>
        <v/>
      </c>
      <c r="AK8" s="32">
        <f>Raw_Adjusted_Prices!AK12/Raw_Adjusted_Prices!AK11-1</f>
        <v/>
      </c>
      <c r="AL8" s="32">
        <f>Raw_Adjusted_Prices!AL12/Raw_Adjusted_Prices!AL11-1</f>
        <v/>
      </c>
      <c r="AM8" s="32">
        <f>Raw_Adjusted_Prices!AM12/Raw_Adjusted_Prices!AM11-1</f>
        <v/>
      </c>
      <c r="AN8" s="32">
        <f>Raw_Adjusted_Prices!AN12/Raw_Adjusted_Prices!AN11-1</f>
        <v/>
      </c>
    </row>
    <row r="9">
      <c r="A9" s="31" t="inlineStr">
        <is>
          <t>2015-08-01</t>
        </is>
      </c>
      <c r="B9" s="32">
        <f>Raw_Adjusted_Prices!B13/Raw_Adjusted_Prices!B12-1</f>
        <v/>
      </c>
      <c r="C9" s="32">
        <f>Raw_Adjusted_Prices!C13/Raw_Adjusted_Prices!C12-1</f>
        <v/>
      </c>
      <c r="D9" s="32">
        <f>Raw_Adjusted_Prices!D13/Raw_Adjusted_Prices!D12-1</f>
        <v/>
      </c>
      <c r="E9" s="32">
        <f>Raw_Adjusted_Prices!E13/Raw_Adjusted_Prices!E12-1</f>
        <v/>
      </c>
      <c r="F9" s="32">
        <f>Raw_Adjusted_Prices!F13/Raw_Adjusted_Prices!F12-1</f>
        <v/>
      </c>
      <c r="G9" s="32">
        <f>Raw_Adjusted_Prices!G13/Raw_Adjusted_Prices!G12-1</f>
        <v/>
      </c>
      <c r="H9" s="32">
        <f>Raw_Adjusted_Prices!H13/Raw_Adjusted_Prices!H12-1</f>
        <v/>
      </c>
      <c r="I9" s="32">
        <f>Raw_Adjusted_Prices!I13/Raw_Adjusted_Prices!I12-1</f>
        <v/>
      </c>
      <c r="J9" s="32">
        <f>Raw_Adjusted_Prices!J13/Raw_Adjusted_Prices!J12-1</f>
        <v/>
      </c>
      <c r="K9" s="32">
        <f>Raw_Adjusted_Prices!K13/Raw_Adjusted_Prices!K12-1</f>
        <v/>
      </c>
      <c r="L9" s="32">
        <f>Raw_Adjusted_Prices!L13/Raw_Adjusted_Prices!L12-1</f>
        <v/>
      </c>
      <c r="M9" s="32">
        <f>Raw_Adjusted_Prices!M13/Raw_Adjusted_Prices!M12-1</f>
        <v/>
      </c>
      <c r="N9" s="32">
        <f>Raw_Adjusted_Prices!N13/Raw_Adjusted_Prices!N12-1</f>
        <v/>
      </c>
      <c r="O9" s="32">
        <f>Raw_Adjusted_Prices!O13/Raw_Adjusted_Prices!O12-1</f>
        <v/>
      </c>
      <c r="P9" s="32">
        <f>Raw_Adjusted_Prices!P13/Raw_Adjusted_Prices!P12-1</f>
        <v/>
      </c>
      <c r="Q9" s="32">
        <f>Raw_Adjusted_Prices!Q13/Raw_Adjusted_Prices!Q12-1</f>
        <v/>
      </c>
      <c r="R9" s="32">
        <f>Raw_Adjusted_Prices!R13/Raw_Adjusted_Prices!R12-1</f>
        <v/>
      </c>
      <c r="S9" s="32">
        <f>Raw_Adjusted_Prices!S13/Raw_Adjusted_Prices!S12-1</f>
        <v/>
      </c>
      <c r="T9" s="32">
        <f>Raw_Adjusted_Prices!T13/Raw_Adjusted_Prices!T12-1</f>
        <v/>
      </c>
      <c r="U9" s="32">
        <f>Raw_Adjusted_Prices!U13/Raw_Adjusted_Prices!U12-1</f>
        <v/>
      </c>
      <c r="V9" s="32">
        <f>Raw_Adjusted_Prices!V13/Raw_Adjusted_Prices!V12-1</f>
        <v/>
      </c>
      <c r="W9" s="32">
        <f>Raw_Adjusted_Prices!W13/Raw_Adjusted_Prices!W12-1</f>
        <v/>
      </c>
      <c r="X9" s="32">
        <f>Raw_Adjusted_Prices!X13/Raw_Adjusted_Prices!X12-1</f>
        <v/>
      </c>
      <c r="Y9" s="32">
        <f>Raw_Adjusted_Prices!Y13/Raw_Adjusted_Prices!Y12-1</f>
        <v/>
      </c>
      <c r="Z9" s="32">
        <f>Raw_Adjusted_Prices!Z13/Raw_Adjusted_Prices!Z12-1</f>
        <v/>
      </c>
      <c r="AA9" s="32">
        <f>Raw_Adjusted_Prices!AA13/Raw_Adjusted_Prices!AA12-1</f>
        <v/>
      </c>
      <c r="AB9" s="32">
        <f>Raw_Adjusted_Prices!AB13/Raw_Adjusted_Prices!AB12-1</f>
        <v/>
      </c>
      <c r="AC9" s="32">
        <f>Raw_Adjusted_Prices!AC13/Raw_Adjusted_Prices!AC12-1</f>
        <v/>
      </c>
      <c r="AD9" s="32">
        <f>Raw_Adjusted_Prices!AD13/Raw_Adjusted_Prices!AD12-1</f>
        <v/>
      </c>
      <c r="AE9" s="32">
        <f>Raw_Adjusted_Prices!AE13/Raw_Adjusted_Prices!AE12-1</f>
        <v/>
      </c>
      <c r="AF9" s="32">
        <f>Raw_Adjusted_Prices!AF13/Raw_Adjusted_Prices!AF12-1</f>
        <v/>
      </c>
      <c r="AG9" s="32">
        <f>Raw_Adjusted_Prices!AG13/Raw_Adjusted_Prices!AG12-1</f>
        <v/>
      </c>
      <c r="AH9" s="32">
        <f>Raw_Adjusted_Prices!AH13/Raw_Adjusted_Prices!AH12-1</f>
        <v/>
      </c>
      <c r="AI9" s="32">
        <f>Raw_Adjusted_Prices!AI13/Raw_Adjusted_Prices!AI12-1</f>
        <v/>
      </c>
      <c r="AJ9" s="32">
        <f>Raw_Adjusted_Prices!AJ13/Raw_Adjusted_Prices!AJ12-1</f>
        <v/>
      </c>
      <c r="AK9" s="32">
        <f>Raw_Adjusted_Prices!AK13/Raw_Adjusted_Prices!AK12-1</f>
        <v/>
      </c>
      <c r="AL9" s="32">
        <f>Raw_Adjusted_Prices!AL13/Raw_Adjusted_Prices!AL12-1</f>
        <v/>
      </c>
      <c r="AM9" s="32">
        <f>Raw_Adjusted_Prices!AM13/Raw_Adjusted_Prices!AM12-1</f>
        <v/>
      </c>
      <c r="AN9" s="32">
        <f>Raw_Adjusted_Prices!AN13/Raw_Adjusted_Prices!AN12-1</f>
        <v/>
      </c>
    </row>
    <row r="10">
      <c r="A10" s="31" t="inlineStr">
        <is>
          <t>2015-09-01</t>
        </is>
      </c>
      <c r="B10" s="32">
        <f>Raw_Adjusted_Prices!B14/Raw_Adjusted_Prices!B13-1</f>
        <v/>
      </c>
      <c r="C10" s="32">
        <f>Raw_Adjusted_Prices!C14/Raw_Adjusted_Prices!C13-1</f>
        <v/>
      </c>
      <c r="D10" s="32">
        <f>Raw_Adjusted_Prices!D14/Raw_Adjusted_Prices!D13-1</f>
        <v/>
      </c>
      <c r="E10" s="32">
        <f>Raw_Adjusted_Prices!E14/Raw_Adjusted_Prices!E13-1</f>
        <v/>
      </c>
      <c r="F10" s="32">
        <f>Raw_Adjusted_Prices!F14/Raw_Adjusted_Prices!F13-1</f>
        <v/>
      </c>
      <c r="G10" s="32">
        <f>Raw_Adjusted_Prices!G14/Raw_Adjusted_Prices!G13-1</f>
        <v/>
      </c>
      <c r="H10" s="32">
        <f>Raw_Adjusted_Prices!H14/Raw_Adjusted_Prices!H13-1</f>
        <v/>
      </c>
      <c r="I10" s="32">
        <f>Raw_Adjusted_Prices!I14/Raw_Adjusted_Prices!I13-1</f>
        <v/>
      </c>
      <c r="J10" s="32">
        <f>Raw_Adjusted_Prices!J14/Raw_Adjusted_Prices!J13-1</f>
        <v/>
      </c>
      <c r="K10" s="32">
        <f>Raw_Adjusted_Prices!K14/Raw_Adjusted_Prices!K13-1</f>
        <v/>
      </c>
      <c r="L10" s="32">
        <f>Raw_Adjusted_Prices!L14/Raw_Adjusted_Prices!L13-1</f>
        <v/>
      </c>
      <c r="M10" s="32">
        <f>Raw_Adjusted_Prices!M14/Raw_Adjusted_Prices!M13-1</f>
        <v/>
      </c>
      <c r="N10" s="32">
        <f>Raw_Adjusted_Prices!N14/Raw_Adjusted_Prices!N13-1</f>
        <v/>
      </c>
      <c r="O10" s="32">
        <f>Raw_Adjusted_Prices!O14/Raw_Adjusted_Prices!O13-1</f>
        <v/>
      </c>
      <c r="P10" s="32">
        <f>Raw_Adjusted_Prices!P14/Raw_Adjusted_Prices!P13-1</f>
        <v/>
      </c>
      <c r="Q10" s="32">
        <f>Raw_Adjusted_Prices!Q14/Raw_Adjusted_Prices!Q13-1</f>
        <v/>
      </c>
      <c r="R10" s="32">
        <f>Raw_Adjusted_Prices!R14/Raw_Adjusted_Prices!R13-1</f>
        <v/>
      </c>
      <c r="S10" s="32">
        <f>Raw_Adjusted_Prices!S14/Raw_Adjusted_Prices!S13-1</f>
        <v/>
      </c>
      <c r="T10" s="32">
        <f>Raw_Adjusted_Prices!T14/Raw_Adjusted_Prices!T13-1</f>
        <v/>
      </c>
      <c r="U10" s="32">
        <f>Raw_Adjusted_Prices!U14/Raw_Adjusted_Prices!U13-1</f>
        <v/>
      </c>
      <c r="V10" s="32">
        <f>Raw_Adjusted_Prices!V14/Raw_Adjusted_Prices!V13-1</f>
        <v/>
      </c>
      <c r="W10" s="32">
        <f>Raw_Adjusted_Prices!W14/Raw_Adjusted_Prices!W13-1</f>
        <v/>
      </c>
      <c r="X10" s="32">
        <f>Raw_Adjusted_Prices!X14/Raw_Adjusted_Prices!X13-1</f>
        <v/>
      </c>
      <c r="Y10" s="32">
        <f>Raw_Adjusted_Prices!Y14/Raw_Adjusted_Prices!Y13-1</f>
        <v/>
      </c>
      <c r="Z10" s="32">
        <f>Raw_Adjusted_Prices!Z14/Raw_Adjusted_Prices!Z13-1</f>
        <v/>
      </c>
      <c r="AA10" s="32">
        <f>Raw_Adjusted_Prices!AA14/Raw_Adjusted_Prices!AA13-1</f>
        <v/>
      </c>
      <c r="AB10" s="32">
        <f>Raw_Adjusted_Prices!AB14/Raw_Adjusted_Prices!AB13-1</f>
        <v/>
      </c>
      <c r="AC10" s="32">
        <f>Raw_Adjusted_Prices!AC14/Raw_Adjusted_Prices!AC13-1</f>
        <v/>
      </c>
      <c r="AD10" s="32">
        <f>Raw_Adjusted_Prices!AD14/Raw_Adjusted_Prices!AD13-1</f>
        <v/>
      </c>
      <c r="AE10" s="32">
        <f>Raw_Adjusted_Prices!AE14/Raw_Adjusted_Prices!AE13-1</f>
        <v/>
      </c>
      <c r="AF10" s="32">
        <f>Raw_Adjusted_Prices!AF14/Raw_Adjusted_Prices!AF13-1</f>
        <v/>
      </c>
      <c r="AG10" s="32">
        <f>Raw_Adjusted_Prices!AG14/Raw_Adjusted_Prices!AG13-1</f>
        <v/>
      </c>
      <c r="AH10" s="32">
        <f>Raw_Adjusted_Prices!AH14/Raw_Adjusted_Prices!AH13-1</f>
        <v/>
      </c>
      <c r="AI10" s="32">
        <f>Raw_Adjusted_Prices!AI14/Raw_Adjusted_Prices!AI13-1</f>
        <v/>
      </c>
      <c r="AJ10" s="32">
        <f>Raw_Adjusted_Prices!AJ14/Raw_Adjusted_Prices!AJ13-1</f>
        <v/>
      </c>
      <c r="AK10" s="32">
        <f>Raw_Adjusted_Prices!AK14/Raw_Adjusted_Prices!AK13-1</f>
        <v/>
      </c>
      <c r="AL10" s="32">
        <f>Raw_Adjusted_Prices!AL14/Raw_Adjusted_Prices!AL13-1</f>
        <v/>
      </c>
      <c r="AM10" s="32">
        <f>Raw_Adjusted_Prices!AM14/Raw_Adjusted_Prices!AM13-1</f>
        <v/>
      </c>
      <c r="AN10" s="32">
        <f>Raw_Adjusted_Prices!AN14/Raw_Adjusted_Prices!AN13-1</f>
        <v/>
      </c>
    </row>
    <row r="11">
      <c r="A11" s="31" t="inlineStr">
        <is>
          <t>2015-10-01</t>
        </is>
      </c>
      <c r="B11" s="32">
        <f>Raw_Adjusted_Prices!B15/Raw_Adjusted_Prices!B14-1</f>
        <v/>
      </c>
      <c r="C11" s="32">
        <f>Raw_Adjusted_Prices!C15/Raw_Adjusted_Prices!C14-1</f>
        <v/>
      </c>
      <c r="D11" s="32">
        <f>Raw_Adjusted_Prices!D15/Raw_Adjusted_Prices!D14-1</f>
        <v/>
      </c>
      <c r="E11" s="32">
        <f>Raw_Adjusted_Prices!E15/Raw_Adjusted_Prices!E14-1</f>
        <v/>
      </c>
      <c r="F11" s="32">
        <f>Raw_Adjusted_Prices!F15/Raw_Adjusted_Prices!F14-1</f>
        <v/>
      </c>
      <c r="G11" s="32">
        <f>Raw_Adjusted_Prices!G15/Raw_Adjusted_Prices!G14-1</f>
        <v/>
      </c>
      <c r="H11" s="32">
        <f>Raw_Adjusted_Prices!H15/Raw_Adjusted_Prices!H14-1</f>
        <v/>
      </c>
      <c r="I11" s="32">
        <f>Raw_Adjusted_Prices!I15/Raw_Adjusted_Prices!I14-1</f>
        <v/>
      </c>
      <c r="J11" s="32">
        <f>Raw_Adjusted_Prices!J15/Raw_Adjusted_Prices!J14-1</f>
        <v/>
      </c>
      <c r="K11" s="32">
        <f>Raw_Adjusted_Prices!K15/Raw_Adjusted_Prices!K14-1</f>
        <v/>
      </c>
      <c r="L11" s="32">
        <f>Raw_Adjusted_Prices!L15/Raw_Adjusted_Prices!L14-1</f>
        <v/>
      </c>
      <c r="M11" s="32">
        <f>Raw_Adjusted_Prices!M15/Raw_Adjusted_Prices!M14-1</f>
        <v/>
      </c>
      <c r="N11" s="32">
        <f>Raw_Adjusted_Prices!N15/Raw_Adjusted_Prices!N14-1</f>
        <v/>
      </c>
      <c r="O11" s="32">
        <f>Raw_Adjusted_Prices!O15/Raw_Adjusted_Prices!O14-1</f>
        <v/>
      </c>
      <c r="P11" s="32">
        <f>Raw_Adjusted_Prices!P15/Raw_Adjusted_Prices!P14-1</f>
        <v/>
      </c>
      <c r="Q11" s="32">
        <f>Raw_Adjusted_Prices!Q15/Raw_Adjusted_Prices!Q14-1</f>
        <v/>
      </c>
      <c r="R11" s="32">
        <f>Raw_Adjusted_Prices!R15/Raw_Adjusted_Prices!R14-1</f>
        <v/>
      </c>
      <c r="S11" s="32">
        <f>Raw_Adjusted_Prices!S15/Raw_Adjusted_Prices!S14-1</f>
        <v/>
      </c>
      <c r="T11" s="32">
        <f>Raw_Adjusted_Prices!T15/Raw_Adjusted_Prices!T14-1</f>
        <v/>
      </c>
      <c r="U11" s="32">
        <f>Raw_Adjusted_Prices!U15/Raw_Adjusted_Prices!U14-1</f>
        <v/>
      </c>
      <c r="V11" s="32">
        <f>Raw_Adjusted_Prices!V15/Raw_Adjusted_Prices!V14-1</f>
        <v/>
      </c>
      <c r="W11" s="32">
        <f>Raw_Adjusted_Prices!W15/Raw_Adjusted_Prices!W14-1</f>
        <v/>
      </c>
      <c r="X11" s="32">
        <f>Raw_Adjusted_Prices!X15/Raw_Adjusted_Prices!X14-1</f>
        <v/>
      </c>
      <c r="Y11" s="32">
        <f>Raw_Adjusted_Prices!Y15/Raw_Adjusted_Prices!Y14-1</f>
        <v/>
      </c>
      <c r="Z11" s="32">
        <f>Raw_Adjusted_Prices!Z15/Raw_Adjusted_Prices!Z14-1</f>
        <v/>
      </c>
      <c r="AA11" s="32">
        <f>Raw_Adjusted_Prices!AA15/Raw_Adjusted_Prices!AA14-1</f>
        <v/>
      </c>
      <c r="AB11" s="32">
        <f>Raw_Adjusted_Prices!AB15/Raw_Adjusted_Prices!AB14-1</f>
        <v/>
      </c>
      <c r="AC11" s="32">
        <f>Raw_Adjusted_Prices!AC15/Raw_Adjusted_Prices!AC14-1</f>
        <v/>
      </c>
      <c r="AD11" s="32">
        <f>Raw_Adjusted_Prices!AD15/Raw_Adjusted_Prices!AD14-1</f>
        <v/>
      </c>
      <c r="AE11" s="32">
        <f>Raw_Adjusted_Prices!AE15/Raw_Adjusted_Prices!AE14-1</f>
        <v/>
      </c>
      <c r="AF11" s="32">
        <f>Raw_Adjusted_Prices!AF15/Raw_Adjusted_Prices!AF14-1</f>
        <v/>
      </c>
      <c r="AG11" s="32">
        <f>Raw_Adjusted_Prices!AG15/Raw_Adjusted_Prices!AG14-1</f>
        <v/>
      </c>
      <c r="AH11" s="32">
        <f>Raw_Adjusted_Prices!AH15/Raw_Adjusted_Prices!AH14-1</f>
        <v/>
      </c>
      <c r="AI11" s="32">
        <f>Raw_Adjusted_Prices!AI15/Raw_Adjusted_Prices!AI14-1</f>
        <v/>
      </c>
      <c r="AJ11" s="32">
        <f>Raw_Adjusted_Prices!AJ15/Raw_Adjusted_Prices!AJ14-1</f>
        <v/>
      </c>
      <c r="AK11" s="32">
        <f>Raw_Adjusted_Prices!AK15/Raw_Adjusted_Prices!AK14-1</f>
        <v/>
      </c>
      <c r="AL11" s="32">
        <f>Raw_Adjusted_Prices!AL15/Raw_Adjusted_Prices!AL14-1</f>
        <v/>
      </c>
      <c r="AM11" s="32">
        <f>Raw_Adjusted_Prices!AM15/Raw_Adjusted_Prices!AM14-1</f>
        <v/>
      </c>
      <c r="AN11" s="32">
        <f>Raw_Adjusted_Prices!AN15/Raw_Adjusted_Prices!AN14-1</f>
        <v/>
      </c>
    </row>
    <row r="12">
      <c r="A12" s="31" t="inlineStr">
        <is>
          <t>2015-11-01</t>
        </is>
      </c>
      <c r="B12" s="32">
        <f>Raw_Adjusted_Prices!B16/Raw_Adjusted_Prices!B15-1</f>
        <v/>
      </c>
      <c r="C12" s="32">
        <f>Raw_Adjusted_Prices!C16/Raw_Adjusted_Prices!C15-1</f>
        <v/>
      </c>
      <c r="D12" s="32">
        <f>Raw_Adjusted_Prices!D16/Raw_Adjusted_Prices!D15-1</f>
        <v/>
      </c>
      <c r="E12" s="32">
        <f>Raw_Adjusted_Prices!E16/Raw_Adjusted_Prices!E15-1</f>
        <v/>
      </c>
      <c r="F12" s="32">
        <f>Raw_Adjusted_Prices!F16/Raw_Adjusted_Prices!F15-1</f>
        <v/>
      </c>
      <c r="G12" s="32">
        <f>Raw_Adjusted_Prices!G16/Raw_Adjusted_Prices!G15-1</f>
        <v/>
      </c>
      <c r="H12" s="32">
        <f>Raw_Adjusted_Prices!H16/Raw_Adjusted_Prices!H15-1</f>
        <v/>
      </c>
      <c r="I12" s="32">
        <f>Raw_Adjusted_Prices!I16/Raw_Adjusted_Prices!I15-1</f>
        <v/>
      </c>
      <c r="J12" s="32">
        <f>Raw_Adjusted_Prices!J16/Raw_Adjusted_Prices!J15-1</f>
        <v/>
      </c>
      <c r="K12" s="32">
        <f>Raw_Adjusted_Prices!K16/Raw_Adjusted_Prices!K15-1</f>
        <v/>
      </c>
      <c r="L12" s="32">
        <f>Raw_Adjusted_Prices!L16/Raw_Adjusted_Prices!L15-1</f>
        <v/>
      </c>
      <c r="M12" s="32">
        <f>Raw_Adjusted_Prices!M16/Raw_Adjusted_Prices!M15-1</f>
        <v/>
      </c>
      <c r="N12" s="32">
        <f>Raw_Adjusted_Prices!N16/Raw_Adjusted_Prices!N15-1</f>
        <v/>
      </c>
      <c r="O12" s="32">
        <f>Raw_Adjusted_Prices!O16/Raw_Adjusted_Prices!O15-1</f>
        <v/>
      </c>
      <c r="P12" s="32">
        <f>Raw_Adjusted_Prices!P16/Raw_Adjusted_Prices!P15-1</f>
        <v/>
      </c>
      <c r="Q12" s="32">
        <f>Raw_Adjusted_Prices!Q16/Raw_Adjusted_Prices!Q15-1</f>
        <v/>
      </c>
      <c r="R12" s="32">
        <f>Raw_Adjusted_Prices!R16/Raw_Adjusted_Prices!R15-1</f>
        <v/>
      </c>
      <c r="S12" s="32">
        <f>Raw_Adjusted_Prices!S16/Raw_Adjusted_Prices!S15-1</f>
        <v/>
      </c>
      <c r="T12" s="32">
        <f>Raw_Adjusted_Prices!T16/Raw_Adjusted_Prices!T15-1</f>
        <v/>
      </c>
      <c r="U12" s="32">
        <f>Raw_Adjusted_Prices!U16/Raw_Adjusted_Prices!U15-1</f>
        <v/>
      </c>
      <c r="V12" s="32">
        <f>Raw_Adjusted_Prices!V16/Raw_Adjusted_Prices!V15-1</f>
        <v/>
      </c>
      <c r="W12" s="32">
        <f>Raw_Adjusted_Prices!W16/Raw_Adjusted_Prices!W15-1</f>
        <v/>
      </c>
      <c r="X12" s="32">
        <f>Raw_Adjusted_Prices!X16/Raw_Adjusted_Prices!X15-1</f>
        <v/>
      </c>
      <c r="Y12" s="32">
        <f>Raw_Adjusted_Prices!Y16/Raw_Adjusted_Prices!Y15-1</f>
        <v/>
      </c>
      <c r="Z12" s="32">
        <f>Raw_Adjusted_Prices!Z16/Raw_Adjusted_Prices!Z15-1</f>
        <v/>
      </c>
      <c r="AA12" s="32">
        <f>Raw_Adjusted_Prices!AA16/Raw_Adjusted_Prices!AA15-1</f>
        <v/>
      </c>
      <c r="AB12" s="32">
        <f>Raw_Adjusted_Prices!AB16/Raw_Adjusted_Prices!AB15-1</f>
        <v/>
      </c>
      <c r="AC12" s="32">
        <f>Raw_Adjusted_Prices!AC16/Raw_Adjusted_Prices!AC15-1</f>
        <v/>
      </c>
      <c r="AD12" s="32">
        <f>Raw_Adjusted_Prices!AD16/Raw_Adjusted_Prices!AD15-1</f>
        <v/>
      </c>
      <c r="AE12" s="32">
        <f>Raw_Adjusted_Prices!AE16/Raw_Adjusted_Prices!AE15-1</f>
        <v/>
      </c>
      <c r="AF12" s="32">
        <f>Raw_Adjusted_Prices!AF16/Raw_Adjusted_Prices!AF15-1</f>
        <v/>
      </c>
      <c r="AG12" s="32">
        <f>Raw_Adjusted_Prices!AG16/Raw_Adjusted_Prices!AG15-1</f>
        <v/>
      </c>
      <c r="AH12" s="32">
        <f>Raw_Adjusted_Prices!AH16/Raw_Adjusted_Prices!AH15-1</f>
        <v/>
      </c>
      <c r="AI12" s="32">
        <f>Raw_Adjusted_Prices!AI16/Raw_Adjusted_Prices!AI15-1</f>
        <v/>
      </c>
      <c r="AJ12" s="32">
        <f>Raw_Adjusted_Prices!AJ16/Raw_Adjusted_Prices!AJ15-1</f>
        <v/>
      </c>
      <c r="AK12" s="32">
        <f>Raw_Adjusted_Prices!AK16/Raw_Adjusted_Prices!AK15-1</f>
        <v/>
      </c>
      <c r="AL12" s="32">
        <f>Raw_Adjusted_Prices!AL16/Raw_Adjusted_Prices!AL15-1</f>
        <v/>
      </c>
      <c r="AM12" s="32">
        <f>Raw_Adjusted_Prices!AM16/Raw_Adjusted_Prices!AM15-1</f>
        <v/>
      </c>
      <c r="AN12" s="32">
        <f>Raw_Adjusted_Prices!AN16/Raw_Adjusted_Prices!AN15-1</f>
        <v/>
      </c>
    </row>
    <row r="13">
      <c r="A13" s="31" t="inlineStr">
        <is>
          <t>2015-12-01</t>
        </is>
      </c>
      <c r="B13" s="32">
        <f>Raw_Adjusted_Prices!B17/Raw_Adjusted_Prices!B16-1</f>
        <v/>
      </c>
      <c r="C13" s="32">
        <f>Raw_Adjusted_Prices!C17/Raw_Adjusted_Prices!C16-1</f>
        <v/>
      </c>
      <c r="D13" s="32">
        <f>Raw_Adjusted_Prices!D17/Raw_Adjusted_Prices!D16-1</f>
        <v/>
      </c>
      <c r="E13" s="32">
        <f>Raw_Adjusted_Prices!E17/Raw_Adjusted_Prices!E16-1</f>
        <v/>
      </c>
      <c r="F13" s="32">
        <f>Raw_Adjusted_Prices!F17/Raw_Adjusted_Prices!F16-1</f>
        <v/>
      </c>
      <c r="G13" s="32">
        <f>Raw_Adjusted_Prices!G17/Raw_Adjusted_Prices!G16-1</f>
        <v/>
      </c>
      <c r="H13" s="32">
        <f>Raw_Adjusted_Prices!H17/Raw_Adjusted_Prices!H16-1</f>
        <v/>
      </c>
      <c r="I13" s="32">
        <f>Raw_Adjusted_Prices!I17/Raw_Adjusted_Prices!I16-1</f>
        <v/>
      </c>
      <c r="J13" s="32">
        <f>Raw_Adjusted_Prices!J17/Raw_Adjusted_Prices!J16-1</f>
        <v/>
      </c>
      <c r="K13" s="32">
        <f>Raw_Adjusted_Prices!K17/Raw_Adjusted_Prices!K16-1</f>
        <v/>
      </c>
      <c r="L13" s="32">
        <f>Raw_Adjusted_Prices!L17/Raw_Adjusted_Prices!L16-1</f>
        <v/>
      </c>
      <c r="M13" s="32">
        <f>Raw_Adjusted_Prices!M17/Raw_Adjusted_Prices!M16-1</f>
        <v/>
      </c>
      <c r="N13" s="32">
        <f>Raw_Adjusted_Prices!N17/Raw_Adjusted_Prices!N16-1</f>
        <v/>
      </c>
      <c r="O13" s="32">
        <f>Raw_Adjusted_Prices!O17/Raw_Adjusted_Prices!O16-1</f>
        <v/>
      </c>
      <c r="P13" s="32">
        <f>Raw_Adjusted_Prices!P17/Raw_Adjusted_Prices!P16-1</f>
        <v/>
      </c>
      <c r="Q13" s="32">
        <f>Raw_Adjusted_Prices!Q17/Raw_Adjusted_Prices!Q16-1</f>
        <v/>
      </c>
      <c r="R13" s="32">
        <f>Raw_Adjusted_Prices!R17/Raw_Adjusted_Prices!R16-1</f>
        <v/>
      </c>
      <c r="S13" s="32">
        <f>Raw_Adjusted_Prices!S17/Raw_Adjusted_Prices!S16-1</f>
        <v/>
      </c>
      <c r="T13" s="32">
        <f>Raw_Adjusted_Prices!T17/Raw_Adjusted_Prices!T16-1</f>
        <v/>
      </c>
      <c r="U13" s="32">
        <f>Raw_Adjusted_Prices!U17/Raw_Adjusted_Prices!U16-1</f>
        <v/>
      </c>
      <c r="V13" s="32">
        <f>Raw_Adjusted_Prices!V17/Raw_Adjusted_Prices!V16-1</f>
        <v/>
      </c>
      <c r="W13" s="32">
        <f>Raw_Adjusted_Prices!W17/Raw_Adjusted_Prices!W16-1</f>
        <v/>
      </c>
      <c r="X13" s="32">
        <f>Raw_Adjusted_Prices!X17/Raw_Adjusted_Prices!X16-1</f>
        <v/>
      </c>
      <c r="Y13" s="32">
        <f>Raw_Adjusted_Prices!Y17/Raw_Adjusted_Prices!Y16-1</f>
        <v/>
      </c>
      <c r="Z13" s="32">
        <f>Raw_Adjusted_Prices!Z17/Raw_Adjusted_Prices!Z16-1</f>
        <v/>
      </c>
      <c r="AA13" s="32">
        <f>Raw_Adjusted_Prices!AA17/Raw_Adjusted_Prices!AA16-1</f>
        <v/>
      </c>
      <c r="AB13" s="32">
        <f>Raw_Adjusted_Prices!AB17/Raw_Adjusted_Prices!AB16-1</f>
        <v/>
      </c>
      <c r="AC13" s="32">
        <f>Raw_Adjusted_Prices!AC17/Raw_Adjusted_Prices!AC16-1</f>
        <v/>
      </c>
      <c r="AD13" s="32">
        <f>Raw_Adjusted_Prices!AD17/Raw_Adjusted_Prices!AD16-1</f>
        <v/>
      </c>
      <c r="AE13" s="32">
        <f>Raw_Adjusted_Prices!AE17/Raw_Adjusted_Prices!AE16-1</f>
        <v/>
      </c>
      <c r="AF13" s="32">
        <f>Raw_Adjusted_Prices!AF17/Raw_Adjusted_Prices!AF16-1</f>
        <v/>
      </c>
      <c r="AG13" s="32">
        <f>Raw_Adjusted_Prices!AG17/Raw_Adjusted_Prices!AG16-1</f>
        <v/>
      </c>
      <c r="AH13" s="32">
        <f>Raw_Adjusted_Prices!AH17/Raw_Adjusted_Prices!AH16-1</f>
        <v/>
      </c>
      <c r="AI13" s="32">
        <f>Raw_Adjusted_Prices!AI17/Raw_Adjusted_Prices!AI16-1</f>
        <v/>
      </c>
      <c r="AJ13" s="32">
        <f>Raw_Adjusted_Prices!AJ17/Raw_Adjusted_Prices!AJ16-1</f>
        <v/>
      </c>
      <c r="AK13" s="32">
        <f>Raw_Adjusted_Prices!AK17/Raw_Adjusted_Prices!AK16-1</f>
        <v/>
      </c>
      <c r="AL13" s="32">
        <f>Raw_Adjusted_Prices!AL17/Raw_Adjusted_Prices!AL16-1</f>
        <v/>
      </c>
      <c r="AM13" s="32">
        <f>Raw_Adjusted_Prices!AM17/Raw_Adjusted_Prices!AM16-1</f>
        <v/>
      </c>
      <c r="AN13" s="32">
        <f>Raw_Adjusted_Prices!AN17/Raw_Adjusted_Prices!AN16-1</f>
        <v/>
      </c>
    </row>
    <row r="14">
      <c r="A14" s="31" t="inlineStr">
        <is>
          <t>2016-01-01</t>
        </is>
      </c>
      <c r="B14" s="32">
        <f>Raw_Adjusted_Prices!B18/Raw_Adjusted_Prices!B17-1</f>
        <v/>
      </c>
      <c r="C14" s="32">
        <f>Raw_Adjusted_Prices!C18/Raw_Adjusted_Prices!C17-1</f>
        <v/>
      </c>
      <c r="D14" s="32">
        <f>Raw_Adjusted_Prices!D18/Raw_Adjusted_Prices!D17-1</f>
        <v/>
      </c>
      <c r="E14" s="32">
        <f>Raw_Adjusted_Prices!E18/Raw_Adjusted_Prices!E17-1</f>
        <v/>
      </c>
      <c r="F14" s="32">
        <f>Raw_Adjusted_Prices!F18/Raw_Adjusted_Prices!F17-1</f>
        <v/>
      </c>
      <c r="G14" s="32">
        <f>Raw_Adjusted_Prices!G18/Raw_Adjusted_Prices!G17-1</f>
        <v/>
      </c>
      <c r="H14" s="32">
        <f>Raw_Adjusted_Prices!H18/Raw_Adjusted_Prices!H17-1</f>
        <v/>
      </c>
      <c r="I14" s="32">
        <f>Raw_Adjusted_Prices!I18/Raw_Adjusted_Prices!I17-1</f>
        <v/>
      </c>
      <c r="J14" s="32">
        <f>Raw_Adjusted_Prices!J18/Raw_Adjusted_Prices!J17-1</f>
        <v/>
      </c>
      <c r="K14" s="32">
        <f>Raw_Adjusted_Prices!K18/Raw_Adjusted_Prices!K17-1</f>
        <v/>
      </c>
      <c r="L14" s="32">
        <f>Raw_Adjusted_Prices!L18/Raw_Adjusted_Prices!L17-1</f>
        <v/>
      </c>
      <c r="M14" s="32">
        <f>Raw_Adjusted_Prices!M18/Raw_Adjusted_Prices!M17-1</f>
        <v/>
      </c>
      <c r="N14" s="32">
        <f>Raw_Adjusted_Prices!N18/Raw_Adjusted_Prices!N17-1</f>
        <v/>
      </c>
      <c r="O14" s="32">
        <f>Raw_Adjusted_Prices!O18/Raw_Adjusted_Prices!O17-1</f>
        <v/>
      </c>
      <c r="P14" s="32">
        <f>Raw_Adjusted_Prices!P18/Raw_Adjusted_Prices!P17-1</f>
        <v/>
      </c>
      <c r="Q14" s="32">
        <f>Raw_Adjusted_Prices!Q18/Raw_Adjusted_Prices!Q17-1</f>
        <v/>
      </c>
      <c r="R14" s="32">
        <f>Raw_Adjusted_Prices!R18/Raw_Adjusted_Prices!R17-1</f>
        <v/>
      </c>
      <c r="S14" s="32">
        <f>Raw_Adjusted_Prices!S18/Raw_Adjusted_Prices!S17-1</f>
        <v/>
      </c>
      <c r="T14" s="32">
        <f>Raw_Adjusted_Prices!T18/Raw_Adjusted_Prices!T17-1</f>
        <v/>
      </c>
      <c r="U14" s="32">
        <f>Raw_Adjusted_Prices!U18/Raw_Adjusted_Prices!U17-1</f>
        <v/>
      </c>
      <c r="V14" s="32">
        <f>Raw_Adjusted_Prices!V18/Raw_Adjusted_Prices!V17-1</f>
        <v/>
      </c>
      <c r="W14" s="32">
        <f>Raw_Adjusted_Prices!W18/Raw_Adjusted_Prices!W17-1</f>
        <v/>
      </c>
      <c r="X14" s="32">
        <f>Raw_Adjusted_Prices!X18/Raw_Adjusted_Prices!X17-1</f>
        <v/>
      </c>
      <c r="Y14" s="32">
        <f>Raw_Adjusted_Prices!Y18/Raw_Adjusted_Prices!Y17-1</f>
        <v/>
      </c>
      <c r="Z14" s="32">
        <f>Raw_Adjusted_Prices!Z18/Raw_Adjusted_Prices!Z17-1</f>
        <v/>
      </c>
      <c r="AA14" s="32">
        <f>Raw_Adjusted_Prices!AA18/Raw_Adjusted_Prices!AA17-1</f>
        <v/>
      </c>
      <c r="AB14" s="32">
        <f>Raw_Adjusted_Prices!AB18/Raw_Adjusted_Prices!AB17-1</f>
        <v/>
      </c>
      <c r="AC14" s="32">
        <f>Raw_Adjusted_Prices!AC18/Raw_Adjusted_Prices!AC17-1</f>
        <v/>
      </c>
      <c r="AD14" s="32">
        <f>Raw_Adjusted_Prices!AD18/Raw_Adjusted_Prices!AD17-1</f>
        <v/>
      </c>
      <c r="AE14" s="32">
        <f>Raw_Adjusted_Prices!AE18/Raw_Adjusted_Prices!AE17-1</f>
        <v/>
      </c>
      <c r="AF14" s="32">
        <f>Raw_Adjusted_Prices!AF18/Raw_Adjusted_Prices!AF17-1</f>
        <v/>
      </c>
      <c r="AG14" s="32">
        <f>Raw_Adjusted_Prices!AG18/Raw_Adjusted_Prices!AG17-1</f>
        <v/>
      </c>
      <c r="AH14" s="32">
        <f>Raw_Adjusted_Prices!AH18/Raw_Adjusted_Prices!AH17-1</f>
        <v/>
      </c>
      <c r="AI14" s="32">
        <f>Raw_Adjusted_Prices!AI18/Raw_Adjusted_Prices!AI17-1</f>
        <v/>
      </c>
      <c r="AJ14" s="32">
        <f>Raw_Adjusted_Prices!AJ18/Raw_Adjusted_Prices!AJ17-1</f>
        <v/>
      </c>
      <c r="AK14" s="32">
        <f>Raw_Adjusted_Prices!AK18/Raw_Adjusted_Prices!AK17-1</f>
        <v/>
      </c>
      <c r="AL14" s="32">
        <f>Raw_Adjusted_Prices!AL18/Raw_Adjusted_Prices!AL17-1</f>
        <v/>
      </c>
      <c r="AM14" s="32">
        <f>Raw_Adjusted_Prices!AM18/Raw_Adjusted_Prices!AM17-1</f>
        <v/>
      </c>
      <c r="AN14" s="32">
        <f>Raw_Adjusted_Prices!AN18/Raw_Adjusted_Prices!AN17-1</f>
        <v/>
      </c>
    </row>
    <row r="15">
      <c r="A15" s="31" t="inlineStr">
        <is>
          <t>2016-02-01</t>
        </is>
      </c>
      <c r="B15" s="32">
        <f>Raw_Adjusted_Prices!B19/Raw_Adjusted_Prices!B18-1</f>
        <v/>
      </c>
      <c r="C15" s="32">
        <f>Raw_Adjusted_Prices!C19/Raw_Adjusted_Prices!C18-1</f>
        <v/>
      </c>
      <c r="D15" s="32">
        <f>Raw_Adjusted_Prices!D19/Raw_Adjusted_Prices!D18-1</f>
        <v/>
      </c>
      <c r="E15" s="32">
        <f>Raw_Adjusted_Prices!E19/Raw_Adjusted_Prices!E18-1</f>
        <v/>
      </c>
      <c r="F15" s="32">
        <f>Raw_Adjusted_Prices!F19/Raw_Adjusted_Prices!F18-1</f>
        <v/>
      </c>
      <c r="G15" s="32">
        <f>Raw_Adjusted_Prices!G19/Raw_Adjusted_Prices!G18-1</f>
        <v/>
      </c>
      <c r="H15" s="32">
        <f>Raw_Adjusted_Prices!H19/Raw_Adjusted_Prices!H18-1</f>
        <v/>
      </c>
      <c r="I15" s="32">
        <f>Raw_Adjusted_Prices!I19/Raw_Adjusted_Prices!I18-1</f>
        <v/>
      </c>
      <c r="J15" s="32">
        <f>Raw_Adjusted_Prices!J19/Raw_Adjusted_Prices!J18-1</f>
        <v/>
      </c>
      <c r="K15" s="32">
        <f>Raw_Adjusted_Prices!K19/Raw_Adjusted_Prices!K18-1</f>
        <v/>
      </c>
      <c r="L15" s="32">
        <f>Raw_Adjusted_Prices!L19/Raw_Adjusted_Prices!L18-1</f>
        <v/>
      </c>
      <c r="M15" s="32">
        <f>Raw_Adjusted_Prices!M19/Raw_Adjusted_Prices!M18-1</f>
        <v/>
      </c>
      <c r="N15" s="32">
        <f>Raw_Adjusted_Prices!N19/Raw_Adjusted_Prices!N18-1</f>
        <v/>
      </c>
      <c r="O15" s="32">
        <f>Raw_Adjusted_Prices!O19/Raw_Adjusted_Prices!O18-1</f>
        <v/>
      </c>
      <c r="P15" s="32">
        <f>Raw_Adjusted_Prices!P19/Raw_Adjusted_Prices!P18-1</f>
        <v/>
      </c>
      <c r="Q15" s="32">
        <f>Raw_Adjusted_Prices!Q19/Raw_Adjusted_Prices!Q18-1</f>
        <v/>
      </c>
      <c r="R15" s="32">
        <f>Raw_Adjusted_Prices!R19/Raw_Adjusted_Prices!R18-1</f>
        <v/>
      </c>
      <c r="S15" s="32">
        <f>Raw_Adjusted_Prices!S19/Raw_Adjusted_Prices!S18-1</f>
        <v/>
      </c>
      <c r="T15" s="32">
        <f>Raw_Adjusted_Prices!T19/Raw_Adjusted_Prices!T18-1</f>
        <v/>
      </c>
      <c r="U15" s="32">
        <f>Raw_Adjusted_Prices!U19/Raw_Adjusted_Prices!U18-1</f>
        <v/>
      </c>
      <c r="V15" s="32">
        <f>Raw_Adjusted_Prices!V19/Raw_Adjusted_Prices!V18-1</f>
        <v/>
      </c>
      <c r="W15" s="32">
        <f>Raw_Adjusted_Prices!W19/Raw_Adjusted_Prices!W18-1</f>
        <v/>
      </c>
      <c r="X15" s="32">
        <f>Raw_Adjusted_Prices!X19/Raw_Adjusted_Prices!X18-1</f>
        <v/>
      </c>
      <c r="Y15" s="32">
        <f>Raw_Adjusted_Prices!Y19/Raw_Adjusted_Prices!Y18-1</f>
        <v/>
      </c>
      <c r="Z15" s="32">
        <f>Raw_Adjusted_Prices!Z19/Raw_Adjusted_Prices!Z18-1</f>
        <v/>
      </c>
      <c r="AA15" s="32">
        <f>Raw_Adjusted_Prices!AA19/Raw_Adjusted_Prices!AA18-1</f>
        <v/>
      </c>
      <c r="AB15" s="32">
        <f>Raw_Adjusted_Prices!AB19/Raw_Adjusted_Prices!AB18-1</f>
        <v/>
      </c>
      <c r="AC15" s="32">
        <f>Raw_Adjusted_Prices!AC19/Raw_Adjusted_Prices!AC18-1</f>
        <v/>
      </c>
      <c r="AD15" s="32">
        <f>Raw_Adjusted_Prices!AD19/Raw_Adjusted_Prices!AD18-1</f>
        <v/>
      </c>
      <c r="AE15" s="32">
        <f>Raw_Adjusted_Prices!AE19/Raw_Adjusted_Prices!AE18-1</f>
        <v/>
      </c>
      <c r="AF15" s="32">
        <f>Raw_Adjusted_Prices!AF19/Raw_Adjusted_Prices!AF18-1</f>
        <v/>
      </c>
      <c r="AG15" s="32">
        <f>Raw_Adjusted_Prices!AG19/Raw_Adjusted_Prices!AG18-1</f>
        <v/>
      </c>
      <c r="AH15" s="32">
        <f>Raw_Adjusted_Prices!AH19/Raw_Adjusted_Prices!AH18-1</f>
        <v/>
      </c>
      <c r="AI15" s="32">
        <f>Raw_Adjusted_Prices!AI19/Raw_Adjusted_Prices!AI18-1</f>
        <v/>
      </c>
      <c r="AJ15" s="32">
        <f>Raw_Adjusted_Prices!AJ19/Raw_Adjusted_Prices!AJ18-1</f>
        <v/>
      </c>
      <c r="AK15" s="32">
        <f>Raw_Adjusted_Prices!AK19/Raw_Adjusted_Prices!AK18-1</f>
        <v/>
      </c>
      <c r="AL15" s="32">
        <f>Raw_Adjusted_Prices!AL19/Raw_Adjusted_Prices!AL18-1</f>
        <v/>
      </c>
      <c r="AM15" s="32">
        <f>Raw_Adjusted_Prices!AM19/Raw_Adjusted_Prices!AM18-1</f>
        <v/>
      </c>
      <c r="AN15" s="32">
        <f>Raw_Adjusted_Prices!AN19/Raw_Adjusted_Prices!AN18-1</f>
        <v/>
      </c>
    </row>
    <row r="16">
      <c r="A16" s="31" t="inlineStr">
        <is>
          <t>2016-03-01</t>
        </is>
      </c>
      <c r="B16" s="32">
        <f>Raw_Adjusted_Prices!B20/Raw_Adjusted_Prices!B19-1</f>
        <v/>
      </c>
      <c r="C16" s="32">
        <f>Raw_Adjusted_Prices!C20/Raw_Adjusted_Prices!C19-1</f>
        <v/>
      </c>
      <c r="D16" s="32">
        <f>Raw_Adjusted_Prices!D20/Raw_Adjusted_Prices!D19-1</f>
        <v/>
      </c>
      <c r="E16" s="32">
        <f>Raw_Adjusted_Prices!E20/Raw_Adjusted_Prices!E19-1</f>
        <v/>
      </c>
      <c r="F16" s="32">
        <f>Raw_Adjusted_Prices!F20/Raw_Adjusted_Prices!F19-1</f>
        <v/>
      </c>
      <c r="G16" s="32">
        <f>Raw_Adjusted_Prices!G20/Raw_Adjusted_Prices!G19-1</f>
        <v/>
      </c>
      <c r="H16" s="32">
        <f>Raw_Adjusted_Prices!H20/Raw_Adjusted_Prices!H19-1</f>
        <v/>
      </c>
      <c r="I16" s="32">
        <f>Raw_Adjusted_Prices!I20/Raw_Adjusted_Prices!I19-1</f>
        <v/>
      </c>
      <c r="J16" s="32">
        <f>Raw_Adjusted_Prices!J20/Raw_Adjusted_Prices!J19-1</f>
        <v/>
      </c>
      <c r="K16" s="32">
        <f>Raw_Adjusted_Prices!K20/Raw_Adjusted_Prices!K19-1</f>
        <v/>
      </c>
      <c r="L16" s="32">
        <f>Raw_Adjusted_Prices!L20/Raw_Adjusted_Prices!L19-1</f>
        <v/>
      </c>
      <c r="M16" s="32">
        <f>Raw_Adjusted_Prices!M20/Raw_Adjusted_Prices!M19-1</f>
        <v/>
      </c>
      <c r="N16" s="32">
        <f>Raw_Adjusted_Prices!N20/Raw_Adjusted_Prices!N19-1</f>
        <v/>
      </c>
      <c r="O16" s="32">
        <f>Raw_Adjusted_Prices!O20/Raw_Adjusted_Prices!O19-1</f>
        <v/>
      </c>
      <c r="P16" s="32">
        <f>Raw_Adjusted_Prices!P20/Raw_Adjusted_Prices!P19-1</f>
        <v/>
      </c>
      <c r="Q16" s="32">
        <f>Raw_Adjusted_Prices!Q20/Raw_Adjusted_Prices!Q19-1</f>
        <v/>
      </c>
      <c r="R16" s="32">
        <f>Raw_Adjusted_Prices!R20/Raw_Adjusted_Prices!R19-1</f>
        <v/>
      </c>
      <c r="S16" s="32">
        <f>Raw_Adjusted_Prices!S20/Raw_Adjusted_Prices!S19-1</f>
        <v/>
      </c>
      <c r="T16" s="32">
        <f>Raw_Adjusted_Prices!T20/Raw_Adjusted_Prices!T19-1</f>
        <v/>
      </c>
      <c r="U16" s="32">
        <f>Raw_Adjusted_Prices!U20/Raw_Adjusted_Prices!U19-1</f>
        <v/>
      </c>
      <c r="V16" s="32">
        <f>Raw_Adjusted_Prices!V20/Raw_Adjusted_Prices!V19-1</f>
        <v/>
      </c>
      <c r="W16" s="32">
        <f>Raw_Adjusted_Prices!W20/Raw_Adjusted_Prices!W19-1</f>
        <v/>
      </c>
      <c r="X16" s="32">
        <f>Raw_Adjusted_Prices!X20/Raw_Adjusted_Prices!X19-1</f>
        <v/>
      </c>
      <c r="Y16" s="32">
        <f>Raw_Adjusted_Prices!Y20/Raw_Adjusted_Prices!Y19-1</f>
        <v/>
      </c>
      <c r="Z16" s="32">
        <f>Raw_Adjusted_Prices!Z20/Raw_Adjusted_Prices!Z19-1</f>
        <v/>
      </c>
      <c r="AA16" s="32">
        <f>Raw_Adjusted_Prices!AA20/Raw_Adjusted_Prices!AA19-1</f>
        <v/>
      </c>
      <c r="AB16" s="32">
        <f>Raw_Adjusted_Prices!AB20/Raw_Adjusted_Prices!AB19-1</f>
        <v/>
      </c>
      <c r="AC16" s="32">
        <f>Raw_Adjusted_Prices!AC20/Raw_Adjusted_Prices!AC19-1</f>
        <v/>
      </c>
      <c r="AD16" s="32">
        <f>Raw_Adjusted_Prices!AD20/Raw_Adjusted_Prices!AD19-1</f>
        <v/>
      </c>
      <c r="AE16" s="32">
        <f>Raw_Adjusted_Prices!AE20/Raw_Adjusted_Prices!AE19-1</f>
        <v/>
      </c>
      <c r="AF16" s="32">
        <f>Raw_Adjusted_Prices!AF20/Raw_Adjusted_Prices!AF19-1</f>
        <v/>
      </c>
      <c r="AG16" s="32">
        <f>Raw_Adjusted_Prices!AG20/Raw_Adjusted_Prices!AG19-1</f>
        <v/>
      </c>
      <c r="AH16" s="32">
        <f>Raw_Adjusted_Prices!AH20/Raw_Adjusted_Prices!AH19-1</f>
        <v/>
      </c>
      <c r="AI16" s="32">
        <f>Raw_Adjusted_Prices!AI20/Raw_Adjusted_Prices!AI19-1</f>
        <v/>
      </c>
      <c r="AJ16" s="32">
        <f>Raw_Adjusted_Prices!AJ20/Raw_Adjusted_Prices!AJ19-1</f>
        <v/>
      </c>
      <c r="AK16" s="32">
        <f>Raw_Adjusted_Prices!AK20/Raw_Adjusted_Prices!AK19-1</f>
        <v/>
      </c>
      <c r="AL16" s="32">
        <f>Raw_Adjusted_Prices!AL20/Raw_Adjusted_Prices!AL19-1</f>
        <v/>
      </c>
      <c r="AM16" s="32">
        <f>Raw_Adjusted_Prices!AM20/Raw_Adjusted_Prices!AM19-1</f>
        <v/>
      </c>
      <c r="AN16" s="32">
        <f>Raw_Adjusted_Prices!AN20/Raw_Adjusted_Prices!AN19-1</f>
        <v/>
      </c>
    </row>
    <row r="17">
      <c r="A17" s="31" t="inlineStr">
        <is>
          <t>2016-04-01</t>
        </is>
      </c>
      <c r="B17" s="32">
        <f>Raw_Adjusted_Prices!B21/Raw_Adjusted_Prices!B20-1</f>
        <v/>
      </c>
      <c r="C17" s="32">
        <f>Raw_Adjusted_Prices!C21/Raw_Adjusted_Prices!C20-1</f>
        <v/>
      </c>
      <c r="D17" s="32">
        <f>Raw_Adjusted_Prices!D21/Raw_Adjusted_Prices!D20-1</f>
        <v/>
      </c>
      <c r="E17" s="32">
        <f>Raw_Adjusted_Prices!E21/Raw_Adjusted_Prices!E20-1</f>
        <v/>
      </c>
      <c r="F17" s="32">
        <f>Raw_Adjusted_Prices!F21/Raw_Adjusted_Prices!F20-1</f>
        <v/>
      </c>
      <c r="G17" s="32">
        <f>Raw_Adjusted_Prices!G21/Raw_Adjusted_Prices!G20-1</f>
        <v/>
      </c>
      <c r="H17" s="32">
        <f>Raw_Adjusted_Prices!H21/Raw_Adjusted_Prices!H20-1</f>
        <v/>
      </c>
      <c r="I17" s="32">
        <f>Raw_Adjusted_Prices!I21/Raw_Adjusted_Prices!I20-1</f>
        <v/>
      </c>
      <c r="J17" s="32">
        <f>Raw_Adjusted_Prices!J21/Raw_Adjusted_Prices!J20-1</f>
        <v/>
      </c>
      <c r="K17" s="32">
        <f>Raw_Adjusted_Prices!K21/Raw_Adjusted_Prices!K20-1</f>
        <v/>
      </c>
      <c r="L17" s="32">
        <f>Raw_Adjusted_Prices!L21/Raw_Adjusted_Prices!L20-1</f>
        <v/>
      </c>
      <c r="M17" s="32">
        <f>Raw_Adjusted_Prices!M21/Raw_Adjusted_Prices!M20-1</f>
        <v/>
      </c>
      <c r="N17" s="32">
        <f>Raw_Adjusted_Prices!N21/Raw_Adjusted_Prices!N20-1</f>
        <v/>
      </c>
      <c r="O17" s="32">
        <f>Raw_Adjusted_Prices!O21/Raw_Adjusted_Prices!O20-1</f>
        <v/>
      </c>
      <c r="P17" s="32">
        <f>Raw_Adjusted_Prices!P21/Raw_Adjusted_Prices!P20-1</f>
        <v/>
      </c>
      <c r="Q17" s="32">
        <f>Raw_Adjusted_Prices!Q21/Raw_Adjusted_Prices!Q20-1</f>
        <v/>
      </c>
      <c r="R17" s="32">
        <f>Raw_Adjusted_Prices!R21/Raw_Adjusted_Prices!R20-1</f>
        <v/>
      </c>
      <c r="S17" s="32">
        <f>Raw_Adjusted_Prices!S21/Raw_Adjusted_Prices!S20-1</f>
        <v/>
      </c>
      <c r="T17" s="32">
        <f>Raw_Adjusted_Prices!T21/Raw_Adjusted_Prices!T20-1</f>
        <v/>
      </c>
      <c r="U17" s="32">
        <f>Raw_Adjusted_Prices!U21/Raw_Adjusted_Prices!U20-1</f>
        <v/>
      </c>
      <c r="V17" s="32">
        <f>Raw_Adjusted_Prices!V21/Raw_Adjusted_Prices!V20-1</f>
        <v/>
      </c>
      <c r="W17" s="32">
        <f>Raw_Adjusted_Prices!W21/Raw_Adjusted_Prices!W20-1</f>
        <v/>
      </c>
      <c r="X17" s="32">
        <f>Raw_Adjusted_Prices!X21/Raw_Adjusted_Prices!X20-1</f>
        <v/>
      </c>
      <c r="Y17" s="32">
        <f>Raw_Adjusted_Prices!Y21/Raw_Adjusted_Prices!Y20-1</f>
        <v/>
      </c>
      <c r="Z17" s="32">
        <f>Raw_Adjusted_Prices!Z21/Raw_Adjusted_Prices!Z20-1</f>
        <v/>
      </c>
      <c r="AA17" s="32">
        <f>Raw_Adjusted_Prices!AA21/Raw_Adjusted_Prices!AA20-1</f>
        <v/>
      </c>
      <c r="AB17" s="32">
        <f>Raw_Adjusted_Prices!AB21/Raw_Adjusted_Prices!AB20-1</f>
        <v/>
      </c>
      <c r="AC17" s="32">
        <f>Raw_Adjusted_Prices!AC21/Raw_Adjusted_Prices!AC20-1</f>
        <v/>
      </c>
      <c r="AD17" s="32">
        <f>Raw_Adjusted_Prices!AD21/Raw_Adjusted_Prices!AD20-1</f>
        <v/>
      </c>
      <c r="AE17" s="32">
        <f>Raw_Adjusted_Prices!AE21/Raw_Adjusted_Prices!AE20-1</f>
        <v/>
      </c>
      <c r="AF17" s="32">
        <f>Raw_Adjusted_Prices!AF21/Raw_Adjusted_Prices!AF20-1</f>
        <v/>
      </c>
      <c r="AG17" s="32">
        <f>Raw_Adjusted_Prices!AG21/Raw_Adjusted_Prices!AG20-1</f>
        <v/>
      </c>
      <c r="AH17" s="32">
        <f>Raw_Adjusted_Prices!AH21/Raw_Adjusted_Prices!AH20-1</f>
        <v/>
      </c>
      <c r="AI17" s="32">
        <f>Raw_Adjusted_Prices!AI21/Raw_Adjusted_Prices!AI20-1</f>
        <v/>
      </c>
      <c r="AJ17" s="32">
        <f>Raw_Adjusted_Prices!AJ21/Raw_Adjusted_Prices!AJ20-1</f>
        <v/>
      </c>
      <c r="AK17" s="32">
        <f>Raw_Adjusted_Prices!AK21/Raw_Adjusted_Prices!AK20-1</f>
        <v/>
      </c>
      <c r="AL17" s="32">
        <f>Raw_Adjusted_Prices!AL21/Raw_Adjusted_Prices!AL20-1</f>
        <v/>
      </c>
      <c r="AM17" s="32">
        <f>Raw_Adjusted_Prices!AM21/Raw_Adjusted_Prices!AM20-1</f>
        <v/>
      </c>
      <c r="AN17" s="32">
        <f>Raw_Adjusted_Prices!AN21/Raw_Adjusted_Prices!AN20-1</f>
        <v/>
      </c>
    </row>
    <row r="18">
      <c r="A18" s="31" t="inlineStr">
        <is>
          <t>2016-05-01</t>
        </is>
      </c>
      <c r="B18" s="32">
        <f>Raw_Adjusted_Prices!B22/Raw_Adjusted_Prices!B21-1</f>
        <v/>
      </c>
      <c r="C18" s="32">
        <f>Raw_Adjusted_Prices!C22/Raw_Adjusted_Prices!C21-1</f>
        <v/>
      </c>
      <c r="D18" s="32">
        <f>Raw_Adjusted_Prices!D22/Raw_Adjusted_Prices!D21-1</f>
        <v/>
      </c>
      <c r="E18" s="32">
        <f>Raw_Adjusted_Prices!E22/Raw_Adjusted_Prices!E21-1</f>
        <v/>
      </c>
      <c r="F18" s="32">
        <f>Raw_Adjusted_Prices!F22/Raw_Adjusted_Prices!F21-1</f>
        <v/>
      </c>
      <c r="G18" s="32">
        <f>Raw_Adjusted_Prices!G22/Raw_Adjusted_Prices!G21-1</f>
        <v/>
      </c>
      <c r="H18" s="32">
        <f>Raw_Adjusted_Prices!H22/Raw_Adjusted_Prices!H21-1</f>
        <v/>
      </c>
      <c r="I18" s="32">
        <f>Raw_Adjusted_Prices!I22/Raw_Adjusted_Prices!I21-1</f>
        <v/>
      </c>
      <c r="J18" s="32">
        <f>Raw_Adjusted_Prices!J22/Raw_Adjusted_Prices!J21-1</f>
        <v/>
      </c>
      <c r="K18" s="32">
        <f>Raw_Adjusted_Prices!K22/Raw_Adjusted_Prices!K21-1</f>
        <v/>
      </c>
      <c r="L18" s="32">
        <f>Raw_Adjusted_Prices!L22/Raw_Adjusted_Prices!L21-1</f>
        <v/>
      </c>
      <c r="M18" s="32">
        <f>Raw_Adjusted_Prices!M22/Raw_Adjusted_Prices!M21-1</f>
        <v/>
      </c>
      <c r="N18" s="32">
        <f>Raw_Adjusted_Prices!N22/Raw_Adjusted_Prices!N21-1</f>
        <v/>
      </c>
      <c r="O18" s="32">
        <f>Raw_Adjusted_Prices!O22/Raw_Adjusted_Prices!O21-1</f>
        <v/>
      </c>
      <c r="P18" s="32">
        <f>Raw_Adjusted_Prices!P22/Raw_Adjusted_Prices!P21-1</f>
        <v/>
      </c>
      <c r="Q18" s="32">
        <f>Raw_Adjusted_Prices!Q22/Raw_Adjusted_Prices!Q21-1</f>
        <v/>
      </c>
      <c r="R18" s="32">
        <f>Raw_Adjusted_Prices!R22/Raw_Adjusted_Prices!R21-1</f>
        <v/>
      </c>
      <c r="S18" s="32">
        <f>Raw_Adjusted_Prices!S22/Raw_Adjusted_Prices!S21-1</f>
        <v/>
      </c>
      <c r="T18" s="32">
        <f>Raw_Adjusted_Prices!T22/Raw_Adjusted_Prices!T21-1</f>
        <v/>
      </c>
      <c r="U18" s="32">
        <f>Raw_Adjusted_Prices!U22/Raw_Adjusted_Prices!U21-1</f>
        <v/>
      </c>
      <c r="V18" s="32">
        <f>Raw_Adjusted_Prices!V22/Raw_Adjusted_Prices!V21-1</f>
        <v/>
      </c>
      <c r="W18" s="32">
        <f>Raw_Adjusted_Prices!W22/Raw_Adjusted_Prices!W21-1</f>
        <v/>
      </c>
      <c r="X18" s="32">
        <f>Raw_Adjusted_Prices!X22/Raw_Adjusted_Prices!X21-1</f>
        <v/>
      </c>
      <c r="Y18" s="32">
        <f>Raw_Adjusted_Prices!Y22/Raw_Adjusted_Prices!Y21-1</f>
        <v/>
      </c>
      <c r="Z18" s="32">
        <f>Raw_Adjusted_Prices!Z22/Raw_Adjusted_Prices!Z21-1</f>
        <v/>
      </c>
      <c r="AA18" s="32">
        <f>Raw_Adjusted_Prices!AA22/Raw_Adjusted_Prices!AA21-1</f>
        <v/>
      </c>
      <c r="AB18" s="32">
        <f>Raw_Adjusted_Prices!AB22/Raw_Adjusted_Prices!AB21-1</f>
        <v/>
      </c>
      <c r="AC18" s="32">
        <f>Raw_Adjusted_Prices!AC22/Raw_Adjusted_Prices!AC21-1</f>
        <v/>
      </c>
      <c r="AD18" s="32">
        <f>Raw_Adjusted_Prices!AD22/Raw_Adjusted_Prices!AD21-1</f>
        <v/>
      </c>
      <c r="AE18" s="32">
        <f>Raw_Adjusted_Prices!AE22/Raw_Adjusted_Prices!AE21-1</f>
        <v/>
      </c>
      <c r="AF18" s="32">
        <f>Raw_Adjusted_Prices!AF22/Raw_Adjusted_Prices!AF21-1</f>
        <v/>
      </c>
      <c r="AG18" s="32">
        <f>Raw_Adjusted_Prices!AG22/Raw_Adjusted_Prices!AG21-1</f>
        <v/>
      </c>
      <c r="AH18" s="32">
        <f>Raw_Adjusted_Prices!AH22/Raw_Adjusted_Prices!AH21-1</f>
        <v/>
      </c>
      <c r="AI18" s="32">
        <f>Raw_Adjusted_Prices!AI22/Raw_Adjusted_Prices!AI21-1</f>
        <v/>
      </c>
      <c r="AJ18" s="32">
        <f>Raw_Adjusted_Prices!AJ22/Raw_Adjusted_Prices!AJ21-1</f>
        <v/>
      </c>
      <c r="AK18" s="32">
        <f>Raw_Adjusted_Prices!AK22/Raw_Adjusted_Prices!AK21-1</f>
        <v/>
      </c>
      <c r="AL18" s="32">
        <f>Raw_Adjusted_Prices!AL22/Raw_Adjusted_Prices!AL21-1</f>
        <v/>
      </c>
      <c r="AM18" s="32">
        <f>Raw_Adjusted_Prices!AM22/Raw_Adjusted_Prices!AM21-1</f>
        <v/>
      </c>
      <c r="AN18" s="32">
        <f>Raw_Adjusted_Prices!AN22/Raw_Adjusted_Prices!AN21-1</f>
        <v/>
      </c>
    </row>
    <row r="19">
      <c r="A19" s="31" t="inlineStr">
        <is>
          <t>2016-06-01</t>
        </is>
      </c>
      <c r="B19" s="32">
        <f>Raw_Adjusted_Prices!B23/Raw_Adjusted_Prices!B22-1</f>
        <v/>
      </c>
      <c r="C19" s="32">
        <f>Raw_Adjusted_Prices!C23/Raw_Adjusted_Prices!C22-1</f>
        <v/>
      </c>
      <c r="D19" s="32">
        <f>Raw_Adjusted_Prices!D23/Raw_Adjusted_Prices!D22-1</f>
        <v/>
      </c>
      <c r="E19" s="32">
        <f>Raw_Adjusted_Prices!E23/Raw_Adjusted_Prices!E22-1</f>
        <v/>
      </c>
      <c r="F19" s="32">
        <f>Raw_Adjusted_Prices!F23/Raw_Adjusted_Prices!F22-1</f>
        <v/>
      </c>
      <c r="G19" s="32">
        <f>Raw_Adjusted_Prices!G23/Raw_Adjusted_Prices!G22-1</f>
        <v/>
      </c>
      <c r="H19" s="32">
        <f>Raw_Adjusted_Prices!H23/Raw_Adjusted_Prices!H22-1</f>
        <v/>
      </c>
      <c r="I19" s="32">
        <f>Raw_Adjusted_Prices!I23/Raw_Adjusted_Prices!I22-1</f>
        <v/>
      </c>
      <c r="J19" s="32">
        <f>Raw_Adjusted_Prices!J23/Raw_Adjusted_Prices!J22-1</f>
        <v/>
      </c>
      <c r="K19" s="32">
        <f>Raw_Adjusted_Prices!K23/Raw_Adjusted_Prices!K22-1</f>
        <v/>
      </c>
      <c r="L19" s="32">
        <f>Raw_Adjusted_Prices!L23/Raw_Adjusted_Prices!L22-1</f>
        <v/>
      </c>
      <c r="M19" s="32">
        <f>Raw_Adjusted_Prices!M23/Raw_Adjusted_Prices!M22-1</f>
        <v/>
      </c>
      <c r="N19" s="32">
        <f>Raw_Adjusted_Prices!N23/Raw_Adjusted_Prices!N22-1</f>
        <v/>
      </c>
      <c r="O19" s="32">
        <f>Raw_Adjusted_Prices!O23/Raw_Adjusted_Prices!O22-1</f>
        <v/>
      </c>
      <c r="P19" s="32">
        <f>Raw_Adjusted_Prices!P23/Raw_Adjusted_Prices!P22-1</f>
        <v/>
      </c>
      <c r="Q19" s="32">
        <f>Raw_Adjusted_Prices!Q23/Raw_Adjusted_Prices!Q22-1</f>
        <v/>
      </c>
      <c r="R19" s="32">
        <f>Raw_Adjusted_Prices!R23/Raw_Adjusted_Prices!R22-1</f>
        <v/>
      </c>
      <c r="S19" s="32">
        <f>Raw_Adjusted_Prices!S23/Raw_Adjusted_Prices!S22-1</f>
        <v/>
      </c>
      <c r="T19" s="32">
        <f>Raw_Adjusted_Prices!T23/Raw_Adjusted_Prices!T22-1</f>
        <v/>
      </c>
      <c r="U19" s="32">
        <f>Raw_Adjusted_Prices!U23/Raw_Adjusted_Prices!U22-1</f>
        <v/>
      </c>
      <c r="V19" s="32">
        <f>Raw_Adjusted_Prices!V23/Raw_Adjusted_Prices!V22-1</f>
        <v/>
      </c>
      <c r="W19" s="32">
        <f>Raw_Adjusted_Prices!W23/Raw_Adjusted_Prices!W22-1</f>
        <v/>
      </c>
      <c r="X19" s="32">
        <f>Raw_Adjusted_Prices!X23/Raw_Adjusted_Prices!X22-1</f>
        <v/>
      </c>
      <c r="Y19" s="32">
        <f>Raw_Adjusted_Prices!Y23/Raw_Adjusted_Prices!Y22-1</f>
        <v/>
      </c>
      <c r="Z19" s="32">
        <f>Raw_Adjusted_Prices!Z23/Raw_Adjusted_Prices!Z22-1</f>
        <v/>
      </c>
      <c r="AA19" s="32">
        <f>Raw_Adjusted_Prices!AA23/Raw_Adjusted_Prices!AA22-1</f>
        <v/>
      </c>
      <c r="AB19" s="32">
        <f>Raw_Adjusted_Prices!AB23/Raw_Adjusted_Prices!AB22-1</f>
        <v/>
      </c>
      <c r="AC19" s="32">
        <f>Raw_Adjusted_Prices!AC23/Raw_Adjusted_Prices!AC22-1</f>
        <v/>
      </c>
      <c r="AD19" s="32">
        <f>Raw_Adjusted_Prices!AD23/Raw_Adjusted_Prices!AD22-1</f>
        <v/>
      </c>
      <c r="AE19" s="32">
        <f>Raw_Adjusted_Prices!AE23/Raw_Adjusted_Prices!AE22-1</f>
        <v/>
      </c>
      <c r="AF19" s="32">
        <f>Raw_Adjusted_Prices!AF23/Raw_Adjusted_Prices!AF22-1</f>
        <v/>
      </c>
      <c r="AG19" s="32">
        <f>Raw_Adjusted_Prices!AG23/Raw_Adjusted_Prices!AG22-1</f>
        <v/>
      </c>
      <c r="AH19" s="32">
        <f>Raw_Adjusted_Prices!AH23/Raw_Adjusted_Prices!AH22-1</f>
        <v/>
      </c>
      <c r="AI19" s="32">
        <f>Raw_Adjusted_Prices!AI23/Raw_Adjusted_Prices!AI22-1</f>
        <v/>
      </c>
      <c r="AJ19" s="32">
        <f>Raw_Adjusted_Prices!AJ23/Raw_Adjusted_Prices!AJ22-1</f>
        <v/>
      </c>
      <c r="AK19" s="32">
        <f>Raw_Adjusted_Prices!AK23/Raw_Adjusted_Prices!AK22-1</f>
        <v/>
      </c>
      <c r="AL19" s="32">
        <f>Raw_Adjusted_Prices!AL23/Raw_Adjusted_Prices!AL22-1</f>
        <v/>
      </c>
      <c r="AM19" s="32">
        <f>Raw_Adjusted_Prices!AM23/Raw_Adjusted_Prices!AM22-1</f>
        <v/>
      </c>
      <c r="AN19" s="32">
        <f>Raw_Adjusted_Prices!AN23/Raw_Adjusted_Prices!AN22-1</f>
        <v/>
      </c>
    </row>
    <row r="20">
      <c r="A20" s="31" t="inlineStr">
        <is>
          <t>2016-07-01</t>
        </is>
      </c>
      <c r="B20" s="32">
        <f>Raw_Adjusted_Prices!B24/Raw_Adjusted_Prices!B23-1</f>
        <v/>
      </c>
      <c r="C20" s="32">
        <f>Raw_Adjusted_Prices!C24/Raw_Adjusted_Prices!C23-1</f>
        <v/>
      </c>
      <c r="D20" s="32">
        <f>Raw_Adjusted_Prices!D24/Raw_Adjusted_Prices!D23-1</f>
        <v/>
      </c>
      <c r="E20" s="32">
        <f>Raw_Adjusted_Prices!E24/Raw_Adjusted_Prices!E23-1</f>
        <v/>
      </c>
      <c r="F20" s="32">
        <f>Raw_Adjusted_Prices!F24/Raw_Adjusted_Prices!F23-1</f>
        <v/>
      </c>
      <c r="G20" s="32">
        <f>Raw_Adjusted_Prices!G24/Raw_Adjusted_Prices!G23-1</f>
        <v/>
      </c>
      <c r="H20" s="32">
        <f>Raw_Adjusted_Prices!H24/Raw_Adjusted_Prices!H23-1</f>
        <v/>
      </c>
      <c r="I20" s="32">
        <f>Raw_Adjusted_Prices!I24/Raw_Adjusted_Prices!I23-1</f>
        <v/>
      </c>
      <c r="J20" s="32">
        <f>Raw_Adjusted_Prices!J24/Raw_Adjusted_Prices!J23-1</f>
        <v/>
      </c>
      <c r="K20" s="32">
        <f>Raw_Adjusted_Prices!K24/Raw_Adjusted_Prices!K23-1</f>
        <v/>
      </c>
      <c r="L20" s="32">
        <f>Raw_Adjusted_Prices!L24/Raw_Adjusted_Prices!L23-1</f>
        <v/>
      </c>
      <c r="M20" s="32">
        <f>Raw_Adjusted_Prices!M24/Raw_Adjusted_Prices!M23-1</f>
        <v/>
      </c>
      <c r="N20" s="32">
        <f>Raw_Adjusted_Prices!N24/Raw_Adjusted_Prices!N23-1</f>
        <v/>
      </c>
      <c r="O20" s="32">
        <f>Raw_Adjusted_Prices!O24/Raw_Adjusted_Prices!O23-1</f>
        <v/>
      </c>
      <c r="P20" s="32">
        <f>Raw_Adjusted_Prices!P24/Raw_Adjusted_Prices!P23-1</f>
        <v/>
      </c>
      <c r="Q20" s="32">
        <f>Raw_Adjusted_Prices!Q24/Raw_Adjusted_Prices!Q23-1</f>
        <v/>
      </c>
      <c r="R20" s="32">
        <f>Raw_Adjusted_Prices!R24/Raw_Adjusted_Prices!R23-1</f>
        <v/>
      </c>
      <c r="S20" s="32">
        <f>Raw_Adjusted_Prices!S24/Raw_Adjusted_Prices!S23-1</f>
        <v/>
      </c>
      <c r="T20" s="32">
        <f>Raw_Adjusted_Prices!T24/Raw_Adjusted_Prices!T23-1</f>
        <v/>
      </c>
      <c r="U20" s="32">
        <f>Raw_Adjusted_Prices!U24/Raw_Adjusted_Prices!U23-1</f>
        <v/>
      </c>
      <c r="V20" s="32">
        <f>Raw_Adjusted_Prices!V24/Raw_Adjusted_Prices!V23-1</f>
        <v/>
      </c>
      <c r="W20" s="32">
        <f>Raw_Adjusted_Prices!W24/Raw_Adjusted_Prices!W23-1</f>
        <v/>
      </c>
      <c r="X20" s="32">
        <f>Raw_Adjusted_Prices!X24/Raw_Adjusted_Prices!X23-1</f>
        <v/>
      </c>
      <c r="Y20" s="32">
        <f>Raw_Adjusted_Prices!Y24/Raw_Adjusted_Prices!Y23-1</f>
        <v/>
      </c>
      <c r="Z20" s="32">
        <f>Raw_Adjusted_Prices!Z24/Raw_Adjusted_Prices!Z23-1</f>
        <v/>
      </c>
      <c r="AA20" s="32">
        <f>Raw_Adjusted_Prices!AA24/Raw_Adjusted_Prices!AA23-1</f>
        <v/>
      </c>
      <c r="AB20" s="32">
        <f>Raw_Adjusted_Prices!AB24/Raw_Adjusted_Prices!AB23-1</f>
        <v/>
      </c>
      <c r="AC20" s="32">
        <f>Raw_Adjusted_Prices!AC24/Raw_Adjusted_Prices!AC23-1</f>
        <v/>
      </c>
      <c r="AD20" s="32">
        <f>Raw_Adjusted_Prices!AD24/Raw_Adjusted_Prices!AD23-1</f>
        <v/>
      </c>
      <c r="AE20" s="32">
        <f>Raw_Adjusted_Prices!AE24/Raw_Adjusted_Prices!AE23-1</f>
        <v/>
      </c>
      <c r="AF20" s="32">
        <f>Raw_Adjusted_Prices!AF24/Raw_Adjusted_Prices!AF23-1</f>
        <v/>
      </c>
      <c r="AG20" s="32">
        <f>Raw_Adjusted_Prices!AG24/Raw_Adjusted_Prices!AG23-1</f>
        <v/>
      </c>
      <c r="AH20" s="32">
        <f>Raw_Adjusted_Prices!AH24/Raw_Adjusted_Prices!AH23-1</f>
        <v/>
      </c>
      <c r="AI20" s="32">
        <f>Raw_Adjusted_Prices!AI24/Raw_Adjusted_Prices!AI23-1</f>
        <v/>
      </c>
      <c r="AJ20" s="32">
        <f>Raw_Adjusted_Prices!AJ24/Raw_Adjusted_Prices!AJ23-1</f>
        <v/>
      </c>
      <c r="AK20" s="32">
        <f>Raw_Adjusted_Prices!AK24/Raw_Adjusted_Prices!AK23-1</f>
        <v/>
      </c>
      <c r="AL20" s="32">
        <f>Raw_Adjusted_Prices!AL24/Raw_Adjusted_Prices!AL23-1</f>
        <v/>
      </c>
      <c r="AM20" s="32">
        <f>Raw_Adjusted_Prices!AM24/Raw_Adjusted_Prices!AM23-1</f>
        <v/>
      </c>
      <c r="AN20" s="32">
        <f>Raw_Adjusted_Prices!AN24/Raw_Adjusted_Prices!AN23-1</f>
        <v/>
      </c>
    </row>
    <row r="21">
      <c r="A21" s="31" t="inlineStr">
        <is>
          <t>2016-08-01</t>
        </is>
      </c>
      <c r="B21" s="32">
        <f>Raw_Adjusted_Prices!B25/Raw_Adjusted_Prices!B24-1</f>
        <v/>
      </c>
      <c r="C21" s="32">
        <f>Raw_Adjusted_Prices!C25/Raw_Adjusted_Prices!C24-1</f>
        <v/>
      </c>
      <c r="D21" s="32">
        <f>Raw_Adjusted_Prices!D25/Raw_Adjusted_Prices!D24-1</f>
        <v/>
      </c>
      <c r="E21" s="32">
        <f>Raw_Adjusted_Prices!E25/Raw_Adjusted_Prices!E24-1</f>
        <v/>
      </c>
      <c r="F21" s="32">
        <f>Raw_Adjusted_Prices!F25/Raw_Adjusted_Prices!F24-1</f>
        <v/>
      </c>
      <c r="G21" s="32">
        <f>Raw_Adjusted_Prices!G25/Raw_Adjusted_Prices!G24-1</f>
        <v/>
      </c>
      <c r="H21" s="32">
        <f>Raw_Adjusted_Prices!H25/Raw_Adjusted_Prices!H24-1</f>
        <v/>
      </c>
      <c r="I21" s="32">
        <f>Raw_Adjusted_Prices!I25/Raw_Adjusted_Prices!I24-1</f>
        <v/>
      </c>
      <c r="J21" s="32">
        <f>Raw_Adjusted_Prices!J25/Raw_Adjusted_Prices!J24-1</f>
        <v/>
      </c>
      <c r="K21" s="32">
        <f>Raw_Adjusted_Prices!K25/Raw_Adjusted_Prices!K24-1</f>
        <v/>
      </c>
      <c r="L21" s="32">
        <f>Raw_Adjusted_Prices!L25/Raw_Adjusted_Prices!L24-1</f>
        <v/>
      </c>
      <c r="M21" s="32">
        <f>Raw_Adjusted_Prices!M25/Raw_Adjusted_Prices!M24-1</f>
        <v/>
      </c>
      <c r="N21" s="32">
        <f>Raw_Adjusted_Prices!N25/Raw_Adjusted_Prices!N24-1</f>
        <v/>
      </c>
      <c r="O21" s="32">
        <f>Raw_Adjusted_Prices!O25/Raw_Adjusted_Prices!O24-1</f>
        <v/>
      </c>
      <c r="P21" s="32">
        <f>Raw_Adjusted_Prices!P25/Raw_Adjusted_Prices!P24-1</f>
        <v/>
      </c>
      <c r="Q21" s="32">
        <f>Raw_Adjusted_Prices!Q25/Raw_Adjusted_Prices!Q24-1</f>
        <v/>
      </c>
      <c r="R21" s="32">
        <f>Raw_Adjusted_Prices!R25/Raw_Adjusted_Prices!R24-1</f>
        <v/>
      </c>
      <c r="S21" s="32">
        <f>Raw_Adjusted_Prices!S25/Raw_Adjusted_Prices!S24-1</f>
        <v/>
      </c>
      <c r="T21" s="32">
        <f>Raw_Adjusted_Prices!T25/Raw_Adjusted_Prices!T24-1</f>
        <v/>
      </c>
      <c r="U21" s="32">
        <f>Raw_Adjusted_Prices!U25/Raw_Adjusted_Prices!U24-1</f>
        <v/>
      </c>
      <c r="V21" s="32">
        <f>Raw_Adjusted_Prices!V25/Raw_Adjusted_Prices!V24-1</f>
        <v/>
      </c>
      <c r="W21" s="32">
        <f>Raw_Adjusted_Prices!W25/Raw_Adjusted_Prices!W24-1</f>
        <v/>
      </c>
      <c r="X21" s="32">
        <f>Raw_Adjusted_Prices!X25/Raw_Adjusted_Prices!X24-1</f>
        <v/>
      </c>
      <c r="Y21" s="32">
        <f>Raw_Adjusted_Prices!Y25/Raw_Adjusted_Prices!Y24-1</f>
        <v/>
      </c>
      <c r="Z21" s="32">
        <f>Raw_Adjusted_Prices!Z25/Raw_Adjusted_Prices!Z24-1</f>
        <v/>
      </c>
      <c r="AA21" s="32">
        <f>Raw_Adjusted_Prices!AA25/Raw_Adjusted_Prices!AA24-1</f>
        <v/>
      </c>
      <c r="AB21" s="32">
        <f>Raw_Adjusted_Prices!AB25/Raw_Adjusted_Prices!AB24-1</f>
        <v/>
      </c>
      <c r="AC21" s="32">
        <f>Raw_Adjusted_Prices!AC25/Raw_Adjusted_Prices!AC24-1</f>
        <v/>
      </c>
      <c r="AD21" s="32">
        <f>Raw_Adjusted_Prices!AD25/Raw_Adjusted_Prices!AD24-1</f>
        <v/>
      </c>
      <c r="AE21" s="32">
        <f>Raw_Adjusted_Prices!AE25/Raw_Adjusted_Prices!AE24-1</f>
        <v/>
      </c>
      <c r="AF21" s="32">
        <f>Raw_Adjusted_Prices!AF25/Raw_Adjusted_Prices!AF24-1</f>
        <v/>
      </c>
      <c r="AG21" s="32">
        <f>Raw_Adjusted_Prices!AG25/Raw_Adjusted_Prices!AG24-1</f>
        <v/>
      </c>
      <c r="AH21" s="32">
        <f>Raw_Adjusted_Prices!AH25/Raw_Adjusted_Prices!AH24-1</f>
        <v/>
      </c>
      <c r="AI21" s="32">
        <f>Raw_Adjusted_Prices!AI25/Raw_Adjusted_Prices!AI24-1</f>
        <v/>
      </c>
      <c r="AJ21" s="32">
        <f>Raw_Adjusted_Prices!AJ25/Raw_Adjusted_Prices!AJ24-1</f>
        <v/>
      </c>
      <c r="AK21" s="32">
        <f>Raw_Adjusted_Prices!AK25/Raw_Adjusted_Prices!AK24-1</f>
        <v/>
      </c>
      <c r="AL21" s="32">
        <f>Raw_Adjusted_Prices!AL25/Raw_Adjusted_Prices!AL24-1</f>
        <v/>
      </c>
      <c r="AM21" s="32">
        <f>Raw_Adjusted_Prices!AM25/Raw_Adjusted_Prices!AM24-1</f>
        <v/>
      </c>
      <c r="AN21" s="32">
        <f>Raw_Adjusted_Prices!AN25/Raw_Adjusted_Prices!AN24-1</f>
        <v/>
      </c>
    </row>
    <row r="22">
      <c r="A22" s="31" t="inlineStr">
        <is>
          <t>2016-09-01</t>
        </is>
      </c>
      <c r="B22" s="32">
        <f>Raw_Adjusted_Prices!B26/Raw_Adjusted_Prices!B25-1</f>
        <v/>
      </c>
      <c r="C22" s="32">
        <f>Raw_Adjusted_Prices!C26/Raw_Adjusted_Prices!C25-1</f>
        <v/>
      </c>
      <c r="D22" s="32">
        <f>Raw_Adjusted_Prices!D26/Raw_Adjusted_Prices!D25-1</f>
        <v/>
      </c>
      <c r="E22" s="32">
        <f>Raw_Adjusted_Prices!E26/Raw_Adjusted_Prices!E25-1</f>
        <v/>
      </c>
      <c r="F22" s="32">
        <f>Raw_Adjusted_Prices!F26/Raw_Adjusted_Prices!F25-1</f>
        <v/>
      </c>
      <c r="G22" s="32">
        <f>Raw_Adjusted_Prices!G26/Raw_Adjusted_Prices!G25-1</f>
        <v/>
      </c>
      <c r="H22" s="32">
        <f>Raw_Adjusted_Prices!H26/Raw_Adjusted_Prices!H25-1</f>
        <v/>
      </c>
      <c r="I22" s="32">
        <f>Raw_Adjusted_Prices!I26/Raw_Adjusted_Prices!I25-1</f>
        <v/>
      </c>
      <c r="J22" s="32">
        <f>Raw_Adjusted_Prices!J26/Raw_Adjusted_Prices!J25-1</f>
        <v/>
      </c>
      <c r="K22" s="32">
        <f>Raw_Adjusted_Prices!K26/Raw_Adjusted_Prices!K25-1</f>
        <v/>
      </c>
      <c r="L22" s="32">
        <f>Raw_Adjusted_Prices!L26/Raw_Adjusted_Prices!L25-1</f>
        <v/>
      </c>
      <c r="M22" s="32">
        <f>Raw_Adjusted_Prices!M26/Raw_Adjusted_Prices!M25-1</f>
        <v/>
      </c>
      <c r="N22" s="32">
        <f>Raw_Adjusted_Prices!N26/Raw_Adjusted_Prices!N25-1</f>
        <v/>
      </c>
      <c r="O22" s="32">
        <f>Raw_Adjusted_Prices!O26/Raw_Adjusted_Prices!O25-1</f>
        <v/>
      </c>
      <c r="P22" s="32">
        <f>Raw_Adjusted_Prices!P26/Raw_Adjusted_Prices!P25-1</f>
        <v/>
      </c>
      <c r="Q22" s="32">
        <f>Raw_Adjusted_Prices!Q26/Raw_Adjusted_Prices!Q25-1</f>
        <v/>
      </c>
      <c r="R22" s="32">
        <f>Raw_Adjusted_Prices!R26/Raw_Adjusted_Prices!R25-1</f>
        <v/>
      </c>
      <c r="S22" s="32">
        <f>Raw_Adjusted_Prices!S26/Raw_Adjusted_Prices!S25-1</f>
        <v/>
      </c>
      <c r="T22" s="32">
        <f>Raw_Adjusted_Prices!T26/Raw_Adjusted_Prices!T25-1</f>
        <v/>
      </c>
      <c r="U22" s="32">
        <f>Raw_Adjusted_Prices!U26/Raw_Adjusted_Prices!U25-1</f>
        <v/>
      </c>
      <c r="V22" s="32">
        <f>Raw_Adjusted_Prices!V26/Raw_Adjusted_Prices!V25-1</f>
        <v/>
      </c>
      <c r="W22" s="32">
        <f>Raw_Adjusted_Prices!W26/Raw_Adjusted_Prices!W25-1</f>
        <v/>
      </c>
      <c r="X22" s="32">
        <f>Raw_Adjusted_Prices!X26/Raw_Adjusted_Prices!X25-1</f>
        <v/>
      </c>
      <c r="Y22" s="32">
        <f>Raw_Adjusted_Prices!Y26/Raw_Adjusted_Prices!Y25-1</f>
        <v/>
      </c>
      <c r="Z22" s="32">
        <f>Raw_Adjusted_Prices!Z26/Raw_Adjusted_Prices!Z25-1</f>
        <v/>
      </c>
      <c r="AA22" s="32">
        <f>Raw_Adjusted_Prices!AA26/Raw_Adjusted_Prices!AA25-1</f>
        <v/>
      </c>
      <c r="AB22" s="32">
        <f>Raw_Adjusted_Prices!AB26/Raw_Adjusted_Prices!AB25-1</f>
        <v/>
      </c>
      <c r="AC22" s="32">
        <f>Raw_Adjusted_Prices!AC26/Raw_Adjusted_Prices!AC25-1</f>
        <v/>
      </c>
      <c r="AD22" s="32">
        <f>Raw_Adjusted_Prices!AD26/Raw_Adjusted_Prices!AD25-1</f>
        <v/>
      </c>
      <c r="AE22" s="32">
        <f>Raw_Adjusted_Prices!AE26/Raw_Adjusted_Prices!AE25-1</f>
        <v/>
      </c>
      <c r="AF22" s="32">
        <f>Raw_Adjusted_Prices!AF26/Raw_Adjusted_Prices!AF25-1</f>
        <v/>
      </c>
      <c r="AG22" s="32">
        <f>Raw_Adjusted_Prices!AG26/Raw_Adjusted_Prices!AG25-1</f>
        <v/>
      </c>
      <c r="AH22" s="32">
        <f>Raw_Adjusted_Prices!AH26/Raw_Adjusted_Prices!AH25-1</f>
        <v/>
      </c>
      <c r="AI22" s="32">
        <f>Raw_Adjusted_Prices!AI26/Raw_Adjusted_Prices!AI25-1</f>
        <v/>
      </c>
      <c r="AJ22" s="32">
        <f>Raw_Adjusted_Prices!AJ26/Raw_Adjusted_Prices!AJ25-1</f>
        <v/>
      </c>
      <c r="AK22" s="32">
        <f>Raw_Adjusted_Prices!AK26/Raw_Adjusted_Prices!AK25-1</f>
        <v/>
      </c>
      <c r="AL22" s="32">
        <f>Raw_Adjusted_Prices!AL26/Raw_Adjusted_Prices!AL25-1</f>
        <v/>
      </c>
      <c r="AM22" s="32">
        <f>Raw_Adjusted_Prices!AM26/Raw_Adjusted_Prices!AM25-1</f>
        <v/>
      </c>
      <c r="AN22" s="32">
        <f>Raw_Adjusted_Prices!AN26/Raw_Adjusted_Prices!AN25-1</f>
        <v/>
      </c>
    </row>
    <row r="23">
      <c r="A23" s="31" t="inlineStr">
        <is>
          <t>2016-10-01</t>
        </is>
      </c>
      <c r="B23" s="32">
        <f>Raw_Adjusted_Prices!B27/Raw_Adjusted_Prices!B26-1</f>
        <v/>
      </c>
      <c r="C23" s="32">
        <f>Raw_Adjusted_Prices!C27/Raw_Adjusted_Prices!C26-1</f>
        <v/>
      </c>
      <c r="D23" s="32">
        <f>Raw_Adjusted_Prices!D27/Raw_Adjusted_Prices!D26-1</f>
        <v/>
      </c>
      <c r="E23" s="32">
        <f>Raw_Adjusted_Prices!E27/Raw_Adjusted_Prices!E26-1</f>
        <v/>
      </c>
      <c r="F23" s="32">
        <f>Raw_Adjusted_Prices!F27/Raw_Adjusted_Prices!F26-1</f>
        <v/>
      </c>
      <c r="G23" s="32">
        <f>Raw_Adjusted_Prices!G27/Raw_Adjusted_Prices!G26-1</f>
        <v/>
      </c>
      <c r="H23" s="32">
        <f>Raw_Adjusted_Prices!H27/Raw_Adjusted_Prices!H26-1</f>
        <v/>
      </c>
      <c r="I23" s="32">
        <f>Raw_Adjusted_Prices!I27/Raw_Adjusted_Prices!I26-1</f>
        <v/>
      </c>
      <c r="J23" s="32">
        <f>Raw_Adjusted_Prices!J27/Raw_Adjusted_Prices!J26-1</f>
        <v/>
      </c>
      <c r="K23" s="32">
        <f>Raw_Adjusted_Prices!K27/Raw_Adjusted_Prices!K26-1</f>
        <v/>
      </c>
      <c r="L23" s="32">
        <f>Raw_Adjusted_Prices!L27/Raw_Adjusted_Prices!L26-1</f>
        <v/>
      </c>
      <c r="M23" s="32">
        <f>Raw_Adjusted_Prices!M27/Raw_Adjusted_Prices!M26-1</f>
        <v/>
      </c>
      <c r="N23" s="32">
        <f>Raw_Adjusted_Prices!N27/Raw_Adjusted_Prices!N26-1</f>
        <v/>
      </c>
      <c r="O23" s="32">
        <f>Raw_Adjusted_Prices!O27/Raw_Adjusted_Prices!O26-1</f>
        <v/>
      </c>
      <c r="P23" s="32">
        <f>Raw_Adjusted_Prices!P27/Raw_Adjusted_Prices!P26-1</f>
        <v/>
      </c>
      <c r="Q23" s="32">
        <f>Raw_Adjusted_Prices!Q27/Raw_Adjusted_Prices!Q26-1</f>
        <v/>
      </c>
      <c r="R23" s="32">
        <f>Raw_Adjusted_Prices!R27/Raw_Adjusted_Prices!R26-1</f>
        <v/>
      </c>
      <c r="S23" s="32">
        <f>Raw_Adjusted_Prices!S27/Raw_Adjusted_Prices!S26-1</f>
        <v/>
      </c>
      <c r="T23" s="32">
        <f>Raw_Adjusted_Prices!T27/Raw_Adjusted_Prices!T26-1</f>
        <v/>
      </c>
      <c r="U23" s="32">
        <f>Raw_Adjusted_Prices!U27/Raw_Adjusted_Prices!U26-1</f>
        <v/>
      </c>
      <c r="V23" s="32">
        <f>Raw_Adjusted_Prices!V27/Raw_Adjusted_Prices!V26-1</f>
        <v/>
      </c>
      <c r="W23" s="32">
        <f>Raw_Adjusted_Prices!W27/Raw_Adjusted_Prices!W26-1</f>
        <v/>
      </c>
      <c r="X23" s="32">
        <f>Raw_Adjusted_Prices!X27/Raw_Adjusted_Prices!X26-1</f>
        <v/>
      </c>
      <c r="Y23" s="32">
        <f>Raw_Adjusted_Prices!Y27/Raw_Adjusted_Prices!Y26-1</f>
        <v/>
      </c>
      <c r="Z23" s="32">
        <f>Raw_Adjusted_Prices!Z27/Raw_Adjusted_Prices!Z26-1</f>
        <v/>
      </c>
      <c r="AA23" s="32">
        <f>Raw_Adjusted_Prices!AA27/Raw_Adjusted_Prices!AA26-1</f>
        <v/>
      </c>
      <c r="AB23" s="32">
        <f>Raw_Adjusted_Prices!AB27/Raw_Adjusted_Prices!AB26-1</f>
        <v/>
      </c>
      <c r="AC23" s="32">
        <f>Raw_Adjusted_Prices!AC27/Raw_Adjusted_Prices!AC26-1</f>
        <v/>
      </c>
      <c r="AD23" s="32">
        <f>Raw_Adjusted_Prices!AD27/Raw_Adjusted_Prices!AD26-1</f>
        <v/>
      </c>
      <c r="AE23" s="32">
        <f>Raw_Adjusted_Prices!AE27/Raw_Adjusted_Prices!AE26-1</f>
        <v/>
      </c>
      <c r="AF23" s="32">
        <f>Raw_Adjusted_Prices!AF27/Raw_Adjusted_Prices!AF26-1</f>
        <v/>
      </c>
      <c r="AG23" s="32">
        <f>Raw_Adjusted_Prices!AG27/Raw_Adjusted_Prices!AG26-1</f>
        <v/>
      </c>
      <c r="AH23" s="32">
        <f>Raw_Adjusted_Prices!AH27/Raw_Adjusted_Prices!AH26-1</f>
        <v/>
      </c>
      <c r="AI23" s="32">
        <f>Raw_Adjusted_Prices!AI27/Raw_Adjusted_Prices!AI26-1</f>
        <v/>
      </c>
      <c r="AJ23" s="32">
        <f>Raw_Adjusted_Prices!AJ27/Raw_Adjusted_Prices!AJ26-1</f>
        <v/>
      </c>
      <c r="AK23" s="32">
        <f>Raw_Adjusted_Prices!AK27/Raw_Adjusted_Prices!AK26-1</f>
        <v/>
      </c>
      <c r="AL23" s="32">
        <f>Raw_Adjusted_Prices!AL27/Raw_Adjusted_Prices!AL26-1</f>
        <v/>
      </c>
      <c r="AM23" s="32">
        <f>Raw_Adjusted_Prices!AM27/Raw_Adjusted_Prices!AM26-1</f>
        <v/>
      </c>
      <c r="AN23" s="32">
        <f>Raw_Adjusted_Prices!AN27/Raw_Adjusted_Prices!AN26-1</f>
        <v/>
      </c>
    </row>
    <row r="24">
      <c r="A24" s="31" t="inlineStr">
        <is>
          <t>2016-11-01</t>
        </is>
      </c>
      <c r="B24" s="32">
        <f>Raw_Adjusted_Prices!B28/Raw_Adjusted_Prices!B27-1</f>
        <v/>
      </c>
      <c r="C24" s="32">
        <f>Raw_Adjusted_Prices!C28/Raw_Adjusted_Prices!C27-1</f>
        <v/>
      </c>
      <c r="D24" s="32">
        <f>Raw_Adjusted_Prices!D28/Raw_Adjusted_Prices!D27-1</f>
        <v/>
      </c>
      <c r="E24" s="32">
        <f>Raw_Adjusted_Prices!E28/Raw_Adjusted_Prices!E27-1</f>
        <v/>
      </c>
      <c r="F24" s="32">
        <f>Raw_Adjusted_Prices!F28/Raw_Adjusted_Prices!F27-1</f>
        <v/>
      </c>
      <c r="G24" s="32">
        <f>Raw_Adjusted_Prices!G28/Raw_Adjusted_Prices!G27-1</f>
        <v/>
      </c>
      <c r="H24" s="32">
        <f>Raw_Adjusted_Prices!H28/Raw_Adjusted_Prices!H27-1</f>
        <v/>
      </c>
      <c r="I24" s="32">
        <f>Raw_Adjusted_Prices!I28/Raw_Adjusted_Prices!I27-1</f>
        <v/>
      </c>
      <c r="J24" s="32">
        <f>Raw_Adjusted_Prices!J28/Raw_Adjusted_Prices!J27-1</f>
        <v/>
      </c>
      <c r="K24" s="32">
        <f>Raw_Adjusted_Prices!K28/Raw_Adjusted_Prices!K27-1</f>
        <v/>
      </c>
      <c r="L24" s="32">
        <f>Raw_Adjusted_Prices!L28/Raw_Adjusted_Prices!L27-1</f>
        <v/>
      </c>
      <c r="M24" s="32">
        <f>Raw_Adjusted_Prices!M28/Raw_Adjusted_Prices!M27-1</f>
        <v/>
      </c>
      <c r="N24" s="32">
        <f>Raw_Adjusted_Prices!N28/Raw_Adjusted_Prices!N27-1</f>
        <v/>
      </c>
      <c r="O24" s="32">
        <f>Raw_Adjusted_Prices!O28/Raw_Adjusted_Prices!O27-1</f>
        <v/>
      </c>
      <c r="P24" s="32">
        <f>Raw_Adjusted_Prices!P28/Raw_Adjusted_Prices!P27-1</f>
        <v/>
      </c>
      <c r="Q24" s="32">
        <f>Raw_Adjusted_Prices!Q28/Raw_Adjusted_Prices!Q27-1</f>
        <v/>
      </c>
      <c r="R24" s="32">
        <f>Raw_Adjusted_Prices!R28/Raw_Adjusted_Prices!R27-1</f>
        <v/>
      </c>
      <c r="S24" s="32">
        <f>Raw_Adjusted_Prices!S28/Raw_Adjusted_Prices!S27-1</f>
        <v/>
      </c>
      <c r="T24" s="32">
        <f>Raw_Adjusted_Prices!T28/Raw_Adjusted_Prices!T27-1</f>
        <v/>
      </c>
      <c r="U24" s="32">
        <f>Raw_Adjusted_Prices!U28/Raw_Adjusted_Prices!U27-1</f>
        <v/>
      </c>
      <c r="V24" s="32">
        <f>Raw_Adjusted_Prices!V28/Raw_Adjusted_Prices!V27-1</f>
        <v/>
      </c>
      <c r="W24" s="32">
        <f>Raw_Adjusted_Prices!W28/Raw_Adjusted_Prices!W27-1</f>
        <v/>
      </c>
      <c r="X24" s="32">
        <f>Raw_Adjusted_Prices!X28/Raw_Adjusted_Prices!X27-1</f>
        <v/>
      </c>
      <c r="Y24" s="32">
        <f>Raw_Adjusted_Prices!Y28/Raw_Adjusted_Prices!Y27-1</f>
        <v/>
      </c>
      <c r="Z24" s="32">
        <f>Raw_Adjusted_Prices!Z28/Raw_Adjusted_Prices!Z27-1</f>
        <v/>
      </c>
      <c r="AA24" s="32">
        <f>Raw_Adjusted_Prices!AA28/Raw_Adjusted_Prices!AA27-1</f>
        <v/>
      </c>
      <c r="AB24" s="32">
        <f>Raw_Adjusted_Prices!AB28/Raw_Adjusted_Prices!AB27-1</f>
        <v/>
      </c>
      <c r="AC24" s="32">
        <f>Raw_Adjusted_Prices!AC28/Raw_Adjusted_Prices!AC27-1</f>
        <v/>
      </c>
      <c r="AD24" s="32">
        <f>Raw_Adjusted_Prices!AD28/Raw_Adjusted_Prices!AD27-1</f>
        <v/>
      </c>
      <c r="AE24" s="32">
        <f>Raw_Adjusted_Prices!AE28/Raw_Adjusted_Prices!AE27-1</f>
        <v/>
      </c>
      <c r="AF24" s="32">
        <f>Raw_Adjusted_Prices!AF28/Raw_Adjusted_Prices!AF27-1</f>
        <v/>
      </c>
      <c r="AG24" s="32">
        <f>Raw_Adjusted_Prices!AG28/Raw_Adjusted_Prices!AG27-1</f>
        <v/>
      </c>
      <c r="AH24" s="32">
        <f>Raw_Adjusted_Prices!AH28/Raw_Adjusted_Prices!AH27-1</f>
        <v/>
      </c>
      <c r="AI24" s="32">
        <f>Raw_Adjusted_Prices!AI28/Raw_Adjusted_Prices!AI27-1</f>
        <v/>
      </c>
      <c r="AJ24" s="32">
        <f>Raw_Adjusted_Prices!AJ28/Raw_Adjusted_Prices!AJ27-1</f>
        <v/>
      </c>
      <c r="AK24" s="32">
        <f>Raw_Adjusted_Prices!AK28/Raw_Adjusted_Prices!AK27-1</f>
        <v/>
      </c>
      <c r="AL24" s="32">
        <f>Raw_Adjusted_Prices!AL28/Raw_Adjusted_Prices!AL27-1</f>
        <v/>
      </c>
      <c r="AM24" s="32">
        <f>Raw_Adjusted_Prices!AM28/Raw_Adjusted_Prices!AM27-1</f>
        <v/>
      </c>
      <c r="AN24" s="32">
        <f>Raw_Adjusted_Prices!AN28/Raw_Adjusted_Prices!AN27-1</f>
        <v/>
      </c>
    </row>
    <row r="25">
      <c r="A25" s="31" t="inlineStr">
        <is>
          <t>2016-12-01</t>
        </is>
      </c>
      <c r="B25" s="32">
        <f>Raw_Adjusted_Prices!B29/Raw_Adjusted_Prices!B28-1</f>
        <v/>
      </c>
      <c r="C25" s="32">
        <f>Raw_Adjusted_Prices!C29/Raw_Adjusted_Prices!C28-1</f>
        <v/>
      </c>
      <c r="D25" s="32">
        <f>Raw_Adjusted_Prices!D29/Raw_Adjusted_Prices!D28-1</f>
        <v/>
      </c>
      <c r="E25" s="32">
        <f>Raw_Adjusted_Prices!E29/Raw_Adjusted_Prices!E28-1</f>
        <v/>
      </c>
      <c r="F25" s="32">
        <f>Raw_Adjusted_Prices!F29/Raw_Adjusted_Prices!F28-1</f>
        <v/>
      </c>
      <c r="G25" s="32">
        <f>Raw_Adjusted_Prices!G29/Raw_Adjusted_Prices!G28-1</f>
        <v/>
      </c>
      <c r="H25" s="32">
        <f>Raw_Adjusted_Prices!H29/Raw_Adjusted_Prices!H28-1</f>
        <v/>
      </c>
      <c r="I25" s="32">
        <f>Raw_Adjusted_Prices!I29/Raw_Adjusted_Prices!I28-1</f>
        <v/>
      </c>
      <c r="J25" s="32">
        <f>Raw_Adjusted_Prices!J29/Raw_Adjusted_Prices!J28-1</f>
        <v/>
      </c>
      <c r="K25" s="32">
        <f>Raw_Adjusted_Prices!K29/Raw_Adjusted_Prices!K28-1</f>
        <v/>
      </c>
      <c r="L25" s="32">
        <f>Raw_Adjusted_Prices!L29/Raw_Adjusted_Prices!L28-1</f>
        <v/>
      </c>
      <c r="M25" s="32">
        <f>Raw_Adjusted_Prices!M29/Raw_Adjusted_Prices!M28-1</f>
        <v/>
      </c>
      <c r="N25" s="32">
        <f>Raw_Adjusted_Prices!N29/Raw_Adjusted_Prices!N28-1</f>
        <v/>
      </c>
      <c r="O25" s="32">
        <f>Raw_Adjusted_Prices!O29/Raw_Adjusted_Prices!O28-1</f>
        <v/>
      </c>
      <c r="P25" s="32">
        <f>Raw_Adjusted_Prices!P29/Raw_Adjusted_Prices!P28-1</f>
        <v/>
      </c>
      <c r="Q25" s="32">
        <f>Raw_Adjusted_Prices!Q29/Raw_Adjusted_Prices!Q28-1</f>
        <v/>
      </c>
      <c r="R25" s="32">
        <f>Raw_Adjusted_Prices!R29/Raw_Adjusted_Prices!R28-1</f>
        <v/>
      </c>
      <c r="S25" s="32">
        <f>Raw_Adjusted_Prices!S29/Raw_Adjusted_Prices!S28-1</f>
        <v/>
      </c>
      <c r="T25" s="32">
        <f>Raw_Adjusted_Prices!T29/Raw_Adjusted_Prices!T28-1</f>
        <v/>
      </c>
      <c r="U25" s="32">
        <f>Raw_Adjusted_Prices!U29/Raw_Adjusted_Prices!U28-1</f>
        <v/>
      </c>
      <c r="V25" s="32">
        <f>Raw_Adjusted_Prices!V29/Raw_Adjusted_Prices!V28-1</f>
        <v/>
      </c>
      <c r="W25" s="32">
        <f>Raw_Adjusted_Prices!W29/Raw_Adjusted_Prices!W28-1</f>
        <v/>
      </c>
      <c r="X25" s="32">
        <f>Raw_Adjusted_Prices!X29/Raw_Adjusted_Prices!X28-1</f>
        <v/>
      </c>
      <c r="Y25" s="32">
        <f>Raw_Adjusted_Prices!Y29/Raw_Adjusted_Prices!Y28-1</f>
        <v/>
      </c>
      <c r="Z25" s="32">
        <f>Raw_Adjusted_Prices!Z29/Raw_Adjusted_Prices!Z28-1</f>
        <v/>
      </c>
      <c r="AA25" s="32">
        <f>Raw_Adjusted_Prices!AA29/Raw_Adjusted_Prices!AA28-1</f>
        <v/>
      </c>
      <c r="AB25" s="32">
        <f>Raw_Adjusted_Prices!AB29/Raw_Adjusted_Prices!AB28-1</f>
        <v/>
      </c>
      <c r="AC25" s="32">
        <f>Raw_Adjusted_Prices!AC29/Raw_Adjusted_Prices!AC28-1</f>
        <v/>
      </c>
      <c r="AD25" s="32">
        <f>Raw_Adjusted_Prices!AD29/Raw_Adjusted_Prices!AD28-1</f>
        <v/>
      </c>
      <c r="AE25" s="32">
        <f>Raw_Adjusted_Prices!AE29/Raw_Adjusted_Prices!AE28-1</f>
        <v/>
      </c>
      <c r="AF25" s="32">
        <f>Raw_Adjusted_Prices!AF29/Raw_Adjusted_Prices!AF28-1</f>
        <v/>
      </c>
      <c r="AG25" s="32">
        <f>Raw_Adjusted_Prices!AG29/Raw_Adjusted_Prices!AG28-1</f>
        <v/>
      </c>
      <c r="AH25" s="32">
        <f>Raw_Adjusted_Prices!AH29/Raw_Adjusted_Prices!AH28-1</f>
        <v/>
      </c>
      <c r="AI25" s="32">
        <f>Raw_Adjusted_Prices!AI29/Raw_Adjusted_Prices!AI28-1</f>
        <v/>
      </c>
      <c r="AJ25" s="32">
        <f>Raw_Adjusted_Prices!AJ29/Raw_Adjusted_Prices!AJ28-1</f>
        <v/>
      </c>
      <c r="AK25" s="32">
        <f>Raw_Adjusted_Prices!AK29/Raw_Adjusted_Prices!AK28-1</f>
        <v/>
      </c>
      <c r="AL25" s="32">
        <f>Raw_Adjusted_Prices!AL29/Raw_Adjusted_Prices!AL28-1</f>
        <v/>
      </c>
      <c r="AM25" s="32">
        <f>Raw_Adjusted_Prices!AM29/Raw_Adjusted_Prices!AM28-1</f>
        <v/>
      </c>
      <c r="AN25" s="32">
        <f>Raw_Adjusted_Prices!AN29/Raw_Adjusted_Prices!AN28-1</f>
        <v/>
      </c>
    </row>
    <row r="26">
      <c r="A26" s="31" t="inlineStr">
        <is>
          <t>2017-01-01</t>
        </is>
      </c>
      <c r="B26" s="32">
        <f>Raw_Adjusted_Prices!B30/Raw_Adjusted_Prices!B29-1</f>
        <v/>
      </c>
      <c r="C26" s="32">
        <f>Raw_Adjusted_Prices!C30/Raw_Adjusted_Prices!C29-1</f>
        <v/>
      </c>
      <c r="D26" s="32">
        <f>Raw_Adjusted_Prices!D30/Raw_Adjusted_Prices!D29-1</f>
        <v/>
      </c>
      <c r="E26" s="32">
        <f>Raw_Adjusted_Prices!E30/Raw_Adjusted_Prices!E29-1</f>
        <v/>
      </c>
      <c r="F26" s="32">
        <f>Raw_Adjusted_Prices!F30/Raw_Adjusted_Prices!F29-1</f>
        <v/>
      </c>
      <c r="G26" s="32">
        <f>Raw_Adjusted_Prices!G30/Raw_Adjusted_Prices!G29-1</f>
        <v/>
      </c>
      <c r="H26" s="32">
        <f>Raw_Adjusted_Prices!H30/Raw_Adjusted_Prices!H29-1</f>
        <v/>
      </c>
      <c r="I26" s="32">
        <f>Raw_Adjusted_Prices!I30/Raw_Adjusted_Prices!I29-1</f>
        <v/>
      </c>
      <c r="J26" s="32">
        <f>Raw_Adjusted_Prices!J30/Raw_Adjusted_Prices!J29-1</f>
        <v/>
      </c>
      <c r="K26" s="32">
        <f>Raw_Adjusted_Prices!K30/Raw_Adjusted_Prices!K29-1</f>
        <v/>
      </c>
      <c r="L26" s="32">
        <f>Raw_Adjusted_Prices!L30/Raw_Adjusted_Prices!L29-1</f>
        <v/>
      </c>
      <c r="M26" s="32">
        <f>Raw_Adjusted_Prices!M30/Raw_Adjusted_Prices!M29-1</f>
        <v/>
      </c>
      <c r="N26" s="32">
        <f>Raw_Adjusted_Prices!N30/Raw_Adjusted_Prices!N29-1</f>
        <v/>
      </c>
      <c r="O26" s="32">
        <f>Raw_Adjusted_Prices!O30/Raw_Adjusted_Prices!O29-1</f>
        <v/>
      </c>
      <c r="P26" s="32">
        <f>Raw_Adjusted_Prices!P30/Raw_Adjusted_Prices!P29-1</f>
        <v/>
      </c>
      <c r="Q26" s="32">
        <f>Raw_Adjusted_Prices!Q30/Raw_Adjusted_Prices!Q29-1</f>
        <v/>
      </c>
      <c r="R26" s="32">
        <f>Raw_Adjusted_Prices!R30/Raw_Adjusted_Prices!R29-1</f>
        <v/>
      </c>
      <c r="S26" s="32">
        <f>Raw_Adjusted_Prices!S30/Raw_Adjusted_Prices!S29-1</f>
        <v/>
      </c>
      <c r="T26" s="32">
        <f>Raw_Adjusted_Prices!T30/Raw_Adjusted_Prices!T29-1</f>
        <v/>
      </c>
      <c r="U26" s="32">
        <f>Raw_Adjusted_Prices!U30/Raw_Adjusted_Prices!U29-1</f>
        <v/>
      </c>
      <c r="V26" s="32">
        <f>Raw_Adjusted_Prices!V30/Raw_Adjusted_Prices!V29-1</f>
        <v/>
      </c>
      <c r="W26" s="32">
        <f>Raw_Adjusted_Prices!W30/Raw_Adjusted_Prices!W29-1</f>
        <v/>
      </c>
      <c r="X26" s="32">
        <f>Raw_Adjusted_Prices!X30/Raw_Adjusted_Prices!X29-1</f>
        <v/>
      </c>
      <c r="Y26" s="32">
        <f>Raw_Adjusted_Prices!Y30/Raw_Adjusted_Prices!Y29-1</f>
        <v/>
      </c>
      <c r="Z26" s="32">
        <f>Raw_Adjusted_Prices!Z30/Raw_Adjusted_Prices!Z29-1</f>
        <v/>
      </c>
      <c r="AA26" s="32">
        <f>Raw_Adjusted_Prices!AA30/Raw_Adjusted_Prices!AA29-1</f>
        <v/>
      </c>
      <c r="AB26" s="32">
        <f>Raw_Adjusted_Prices!AB30/Raw_Adjusted_Prices!AB29-1</f>
        <v/>
      </c>
      <c r="AC26" s="32">
        <f>Raw_Adjusted_Prices!AC30/Raw_Adjusted_Prices!AC29-1</f>
        <v/>
      </c>
      <c r="AD26" s="32">
        <f>Raw_Adjusted_Prices!AD30/Raw_Adjusted_Prices!AD29-1</f>
        <v/>
      </c>
      <c r="AE26" s="32">
        <f>Raw_Adjusted_Prices!AE30/Raw_Adjusted_Prices!AE29-1</f>
        <v/>
      </c>
      <c r="AF26" s="32">
        <f>Raw_Adjusted_Prices!AF30/Raw_Adjusted_Prices!AF29-1</f>
        <v/>
      </c>
      <c r="AG26" s="32">
        <f>Raw_Adjusted_Prices!AG30/Raw_Adjusted_Prices!AG29-1</f>
        <v/>
      </c>
      <c r="AH26" s="32">
        <f>Raw_Adjusted_Prices!AH30/Raw_Adjusted_Prices!AH29-1</f>
        <v/>
      </c>
      <c r="AI26" s="32">
        <f>Raw_Adjusted_Prices!AI30/Raw_Adjusted_Prices!AI29-1</f>
        <v/>
      </c>
      <c r="AJ26" s="32">
        <f>Raw_Adjusted_Prices!AJ30/Raw_Adjusted_Prices!AJ29-1</f>
        <v/>
      </c>
      <c r="AK26" s="32">
        <f>Raw_Adjusted_Prices!AK30/Raw_Adjusted_Prices!AK29-1</f>
        <v/>
      </c>
      <c r="AL26" s="32">
        <f>Raw_Adjusted_Prices!AL30/Raw_Adjusted_Prices!AL29-1</f>
        <v/>
      </c>
      <c r="AM26" s="32">
        <f>Raw_Adjusted_Prices!AM30/Raw_Adjusted_Prices!AM29-1</f>
        <v/>
      </c>
      <c r="AN26" s="32">
        <f>Raw_Adjusted_Prices!AN30/Raw_Adjusted_Prices!AN29-1</f>
        <v/>
      </c>
    </row>
    <row r="27">
      <c r="A27" s="31" t="inlineStr">
        <is>
          <t>2017-02-01</t>
        </is>
      </c>
      <c r="B27" s="32">
        <f>Raw_Adjusted_Prices!B31/Raw_Adjusted_Prices!B30-1</f>
        <v/>
      </c>
      <c r="C27" s="32">
        <f>Raw_Adjusted_Prices!C31/Raw_Adjusted_Prices!C30-1</f>
        <v/>
      </c>
      <c r="D27" s="32">
        <f>Raw_Adjusted_Prices!D31/Raw_Adjusted_Prices!D30-1</f>
        <v/>
      </c>
      <c r="E27" s="32">
        <f>Raw_Adjusted_Prices!E31/Raw_Adjusted_Prices!E30-1</f>
        <v/>
      </c>
      <c r="F27" s="32">
        <f>Raw_Adjusted_Prices!F31/Raw_Adjusted_Prices!F30-1</f>
        <v/>
      </c>
      <c r="G27" s="32">
        <f>Raw_Adjusted_Prices!G31/Raw_Adjusted_Prices!G30-1</f>
        <v/>
      </c>
      <c r="H27" s="32">
        <f>Raw_Adjusted_Prices!H31/Raw_Adjusted_Prices!H30-1</f>
        <v/>
      </c>
      <c r="I27" s="32">
        <f>Raw_Adjusted_Prices!I31/Raw_Adjusted_Prices!I30-1</f>
        <v/>
      </c>
      <c r="J27" s="32">
        <f>Raw_Adjusted_Prices!J31/Raw_Adjusted_Prices!J30-1</f>
        <v/>
      </c>
      <c r="K27" s="32">
        <f>Raw_Adjusted_Prices!K31/Raw_Adjusted_Prices!K30-1</f>
        <v/>
      </c>
      <c r="L27" s="32">
        <f>Raw_Adjusted_Prices!L31/Raw_Adjusted_Prices!L30-1</f>
        <v/>
      </c>
      <c r="M27" s="32">
        <f>Raw_Adjusted_Prices!M31/Raw_Adjusted_Prices!M30-1</f>
        <v/>
      </c>
      <c r="N27" s="32">
        <f>Raw_Adjusted_Prices!N31/Raw_Adjusted_Prices!N30-1</f>
        <v/>
      </c>
      <c r="O27" s="32">
        <f>Raw_Adjusted_Prices!O31/Raw_Adjusted_Prices!O30-1</f>
        <v/>
      </c>
      <c r="P27" s="32">
        <f>Raw_Adjusted_Prices!P31/Raw_Adjusted_Prices!P30-1</f>
        <v/>
      </c>
      <c r="Q27" s="32">
        <f>Raw_Adjusted_Prices!Q31/Raw_Adjusted_Prices!Q30-1</f>
        <v/>
      </c>
      <c r="R27" s="32">
        <f>Raw_Adjusted_Prices!R31/Raw_Adjusted_Prices!R30-1</f>
        <v/>
      </c>
      <c r="S27" s="32">
        <f>Raw_Adjusted_Prices!S31/Raw_Adjusted_Prices!S30-1</f>
        <v/>
      </c>
      <c r="T27" s="32">
        <f>Raw_Adjusted_Prices!T31/Raw_Adjusted_Prices!T30-1</f>
        <v/>
      </c>
      <c r="U27" s="32">
        <f>Raw_Adjusted_Prices!U31/Raw_Adjusted_Prices!U30-1</f>
        <v/>
      </c>
      <c r="V27" s="32">
        <f>Raw_Adjusted_Prices!V31/Raw_Adjusted_Prices!V30-1</f>
        <v/>
      </c>
      <c r="W27" s="32">
        <f>Raw_Adjusted_Prices!W31/Raw_Adjusted_Prices!W30-1</f>
        <v/>
      </c>
      <c r="X27" s="32">
        <f>Raw_Adjusted_Prices!X31/Raw_Adjusted_Prices!X30-1</f>
        <v/>
      </c>
      <c r="Y27" s="32">
        <f>Raw_Adjusted_Prices!Y31/Raw_Adjusted_Prices!Y30-1</f>
        <v/>
      </c>
      <c r="Z27" s="32">
        <f>Raw_Adjusted_Prices!Z31/Raw_Adjusted_Prices!Z30-1</f>
        <v/>
      </c>
      <c r="AA27" s="32">
        <f>Raw_Adjusted_Prices!AA31/Raw_Adjusted_Prices!AA30-1</f>
        <v/>
      </c>
      <c r="AB27" s="32">
        <f>Raw_Adjusted_Prices!AB31/Raw_Adjusted_Prices!AB30-1</f>
        <v/>
      </c>
      <c r="AC27" s="32">
        <f>Raw_Adjusted_Prices!AC31/Raw_Adjusted_Prices!AC30-1</f>
        <v/>
      </c>
      <c r="AD27" s="32">
        <f>Raw_Adjusted_Prices!AD31/Raw_Adjusted_Prices!AD30-1</f>
        <v/>
      </c>
      <c r="AE27" s="32">
        <f>Raw_Adjusted_Prices!AE31/Raw_Adjusted_Prices!AE30-1</f>
        <v/>
      </c>
      <c r="AF27" s="32">
        <f>Raw_Adjusted_Prices!AF31/Raw_Adjusted_Prices!AF30-1</f>
        <v/>
      </c>
      <c r="AG27" s="32">
        <f>Raw_Adjusted_Prices!AG31/Raw_Adjusted_Prices!AG30-1</f>
        <v/>
      </c>
      <c r="AH27" s="32">
        <f>Raw_Adjusted_Prices!AH31/Raw_Adjusted_Prices!AH30-1</f>
        <v/>
      </c>
      <c r="AI27" s="32">
        <f>Raw_Adjusted_Prices!AI31/Raw_Adjusted_Prices!AI30-1</f>
        <v/>
      </c>
      <c r="AJ27" s="32">
        <f>Raw_Adjusted_Prices!AJ31/Raw_Adjusted_Prices!AJ30-1</f>
        <v/>
      </c>
      <c r="AK27" s="32">
        <f>Raw_Adjusted_Prices!AK31/Raw_Adjusted_Prices!AK30-1</f>
        <v/>
      </c>
      <c r="AL27" s="32">
        <f>Raw_Adjusted_Prices!AL31/Raw_Adjusted_Prices!AL30-1</f>
        <v/>
      </c>
      <c r="AM27" s="32">
        <f>Raw_Adjusted_Prices!AM31/Raw_Adjusted_Prices!AM30-1</f>
        <v/>
      </c>
      <c r="AN27" s="32">
        <f>Raw_Adjusted_Prices!AN31/Raw_Adjusted_Prices!AN30-1</f>
        <v/>
      </c>
    </row>
    <row r="28">
      <c r="A28" s="31" t="inlineStr">
        <is>
          <t>2017-03-01</t>
        </is>
      </c>
      <c r="B28" s="32">
        <f>Raw_Adjusted_Prices!B32/Raw_Adjusted_Prices!B31-1</f>
        <v/>
      </c>
      <c r="C28" s="32">
        <f>Raw_Adjusted_Prices!C32/Raw_Adjusted_Prices!C31-1</f>
        <v/>
      </c>
      <c r="D28" s="32">
        <f>Raw_Adjusted_Prices!D32/Raw_Adjusted_Prices!D31-1</f>
        <v/>
      </c>
      <c r="E28" s="32">
        <f>Raw_Adjusted_Prices!E32/Raw_Adjusted_Prices!E31-1</f>
        <v/>
      </c>
      <c r="F28" s="32">
        <f>Raw_Adjusted_Prices!F32/Raw_Adjusted_Prices!F31-1</f>
        <v/>
      </c>
      <c r="G28" s="32">
        <f>Raw_Adjusted_Prices!G32/Raw_Adjusted_Prices!G31-1</f>
        <v/>
      </c>
      <c r="H28" s="32">
        <f>Raw_Adjusted_Prices!H32/Raw_Adjusted_Prices!H31-1</f>
        <v/>
      </c>
      <c r="I28" s="32">
        <f>Raw_Adjusted_Prices!I32/Raw_Adjusted_Prices!I31-1</f>
        <v/>
      </c>
      <c r="J28" s="32">
        <f>Raw_Adjusted_Prices!J32/Raw_Adjusted_Prices!J31-1</f>
        <v/>
      </c>
      <c r="K28" s="32">
        <f>Raw_Adjusted_Prices!K32/Raw_Adjusted_Prices!K31-1</f>
        <v/>
      </c>
      <c r="L28" s="32">
        <f>Raw_Adjusted_Prices!L32/Raw_Adjusted_Prices!L31-1</f>
        <v/>
      </c>
      <c r="M28" s="32">
        <f>Raw_Adjusted_Prices!M32/Raw_Adjusted_Prices!M31-1</f>
        <v/>
      </c>
      <c r="N28" s="32">
        <f>Raw_Adjusted_Prices!N32/Raw_Adjusted_Prices!N31-1</f>
        <v/>
      </c>
      <c r="O28" s="32">
        <f>Raw_Adjusted_Prices!O32/Raw_Adjusted_Prices!O31-1</f>
        <v/>
      </c>
      <c r="P28" s="32">
        <f>Raw_Adjusted_Prices!P32/Raw_Adjusted_Prices!P31-1</f>
        <v/>
      </c>
      <c r="Q28" s="32">
        <f>Raw_Adjusted_Prices!Q32/Raw_Adjusted_Prices!Q31-1</f>
        <v/>
      </c>
      <c r="R28" s="32">
        <f>Raw_Adjusted_Prices!R32/Raw_Adjusted_Prices!R31-1</f>
        <v/>
      </c>
      <c r="S28" s="32">
        <f>Raw_Adjusted_Prices!S32/Raw_Adjusted_Prices!S31-1</f>
        <v/>
      </c>
      <c r="T28" s="32">
        <f>Raw_Adjusted_Prices!T32/Raw_Adjusted_Prices!T31-1</f>
        <v/>
      </c>
      <c r="U28" s="32">
        <f>Raw_Adjusted_Prices!U32/Raw_Adjusted_Prices!U31-1</f>
        <v/>
      </c>
      <c r="V28" s="32">
        <f>Raw_Adjusted_Prices!V32/Raw_Adjusted_Prices!V31-1</f>
        <v/>
      </c>
      <c r="W28" s="32">
        <f>Raw_Adjusted_Prices!W32/Raw_Adjusted_Prices!W31-1</f>
        <v/>
      </c>
      <c r="X28" s="32">
        <f>Raw_Adjusted_Prices!X32/Raw_Adjusted_Prices!X31-1</f>
        <v/>
      </c>
      <c r="Y28" s="32">
        <f>Raw_Adjusted_Prices!Y32/Raw_Adjusted_Prices!Y31-1</f>
        <v/>
      </c>
      <c r="Z28" s="32">
        <f>Raw_Adjusted_Prices!Z32/Raw_Adjusted_Prices!Z31-1</f>
        <v/>
      </c>
      <c r="AA28" s="32">
        <f>Raw_Adjusted_Prices!AA32/Raw_Adjusted_Prices!AA31-1</f>
        <v/>
      </c>
      <c r="AB28" s="32">
        <f>Raw_Adjusted_Prices!AB32/Raw_Adjusted_Prices!AB31-1</f>
        <v/>
      </c>
      <c r="AC28" s="32">
        <f>Raw_Adjusted_Prices!AC32/Raw_Adjusted_Prices!AC31-1</f>
        <v/>
      </c>
      <c r="AD28" s="32">
        <f>Raw_Adjusted_Prices!AD32/Raw_Adjusted_Prices!AD31-1</f>
        <v/>
      </c>
      <c r="AE28" s="32">
        <f>Raw_Adjusted_Prices!AE32/Raw_Adjusted_Prices!AE31-1</f>
        <v/>
      </c>
      <c r="AF28" s="32">
        <f>Raw_Adjusted_Prices!AF32/Raw_Adjusted_Prices!AF31-1</f>
        <v/>
      </c>
      <c r="AG28" s="32">
        <f>Raw_Adjusted_Prices!AG32/Raw_Adjusted_Prices!AG31-1</f>
        <v/>
      </c>
      <c r="AH28" s="32">
        <f>Raw_Adjusted_Prices!AH32/Raw_Adjusted_Prices!AH31-1</f>
        <v/>
      </c>
      <c r="AI28" s="32">
        <f>Raw_Adjusted_Prices!AI32/Raw_Adjusted_Prices!AI31-1</f>
        <v/>
      </c>
      <c r="AJ28" s="32">
        <f>Raw_Adjusted_Prices!AJ32/Raw_Adjusted_Prices!AJ31-1</f>
        <v/>
      </c>
      <c r="AK28" s="32">
        <f>Raw_Adjusted_Prices!AK32/Raw_Adjusted_Prices!AK31-1</f>
        <v/>
      </c>
      <c r="AL28" s="32">
        <f>Raw_Adjusted_Prices!AL32/Raw_Adjusted_Prices!AL31-1</f>
        <v/>
      </c>
      <c r="AM28" s="32">
        <f>Raw_Adjusted_Prices!AM32/Raw_Adjusted_Prices!AM31-1</f>
        <v/>
      </c>
      <c r="AN28" s="32">
        <f>Raw_Adjusted_Prices!AN32/Raw_Adjusted_Prices!AN31-1</f>
        <v/>
      </c>
    </row>
    <row r="29">
      <c r="A29" s="31" t="inlineStr">
        <is>
          <t>2017-04-01</t>
        </is>
      </c>
      <c r="B29" s="32">
        <f>Raw_Adjusted_Prices!B33/Raw_Adjusted_Prices!B32-1</f>
        <v/>
      </c>
      <c r="C29" s="32">
        <f>Raw_Adjusted_Prices!C33/Raw_Adjusted_Prices!C32-1</f>
        <v/>
      </c>
      <c r="D29" s="32">
        <f>Raw_Adjusted_Prices!D33/Raw_Adjusted_Prices!D32-1</f>
        <v/>
      </c>
      <c r="E29" s="32">
        <f>Raw_Adjusted_Prices!E33/Raw_Adjusted_Prices!E32-1</f>
        <v/>
      </c>
      <c r="F29" s="32">
        <f>Raw_Adjusted_Prices!F33/Raw_Adjusted_Prices!F32-1</f>
        <v/>
      </c>
      <c r="G29" s="32">
        <f>Raw_Adjusted_Prices!G33/Raw_Adjusted_Prices!G32-1</f>
        <v/>
      </c>
      <c r="H29" s="32">
        <f>Raw_Adjusted_Prices!H33/Raw_Adjusted_Prices!H32-1</f>
        <v/>
      </c>
      <c r="I29" s="32">
        <f>Raw_Adjusted_Prices!I33/Raw_Adjusted_Prices!I32-1</f>
        <v/>
      </c>
      <c r="J29" s="32">
        <f>Raw_Adjusted_Prices!J33/Raw_Adjusted_Prices!J32-1</f>
        <v/>
      </c>
      <c r="K29" s="32">
        <f>Raw_Adjusted_Prices!K33/Raw_Adjusted_Prices!K32-1</f>
        <v/>
      </c>
      <c r="L29" s="32">
        <f>Raw_Adjusted_Prices!L33/Raw_Adjusted_Prices!L32-1</f>
        <v/>
      </c>
      <c r="M29" s="32">
        <f>Raw_Adjusted_Prices!M33/Raw_Adjusted_Prices!M32-1</f>
        <v/>
      </c>
      <c r="N29" s="32">
        <f>Raw_Adjusted_Prices!N33/Raw_Adjusted_Prices!N32-1</f>
        <v/>
      </c>
      <c r="O29" s="32">
        <f>Raw_Adjusted_Prices!O33/Raw_Adjusted_Prices!O32-1</f>
        <v/>
      </c>
      <c r="P29" s="32">
        <f>Raw_Adjusted_Prices!P33/Raw_Adjusted_Prices!P32-1</f>
        <v/>
      </c>
      <c r="Q29" s="32">
        <f>Raw_Adjusted_Prices!Q33/Raw_Adjusted_Prices!Q32-1</f>
        <v/>
      </c>
      <c r="R29" s="32">
        <f>Raw_Adjusted_Prices!R33/Raw_Adjusted_Prices!R32-1</f>
        <v/>
      </c>
      <c r="S29" s="32">
        <f>Raw_Adjusted_Prices!S33/Raw_Adjusted_Prices!S32-1</f>
        <v/>
      </c>
      <c r="T29" s="32">
        <f>Raw_Adjusted_Prices!T33/Raw_Adjusted_Prices!T32-1</f>
        <v/>
      </c>
      <c r="U29" s="32">
        <f>Raw_Adjusted_Prices!U33/Raw_Adjusted_Prices!U32-1</f>
        <v/>
      </c>
      <c r="V29" s="32">
        <f>Raw_Adjusted_Prices!V33/Raw_Adjusted_Prices!V32-1</f>
        <v/>
      </c>
      <c r="W29" s="32">
        <f>Raw_Adjusted_Prices!W33/Raw_Adjusted_Prices!W32-1</f>
        <v/>
      </c>
      <c r="X29" s="32">
        <f>Raw_Adjusted_Prices!X33/Raw_Adjusted_Prices!X32-1</f>
        <v/>
      </c>
      <c r="Y29" s="32">
        <f>Raw_Adjusted_Prices!Y33/Raw_Adjusted_Prices!Y32-1</f>
        <v/>
      </c>
      <c r="Z29" s="32">
        <f>Raw_Adjusted_Prices!Z33/Raw_Adjusted_Prices!Z32-1</f>
        <v/>
      </c>
      <c r="AA29" s="32">
        <f>Raw_Adjusted_Prices!AA33/Raw_Adjusted_Prices!AA32-1</f>
        <v/>
      </c>
      <c r="AB29" s="32">
        <f>Raw_Adjusted_Prices!AB33/Raw_Adjusted_Prices!AB32-1</f>
        <v/>
      </c>
      <c r="AC29" s="32">
        <f>Raw_Adjusted_Prices!AC33/Raw_Adjusted_Prices!AC32-1</f>
        <v/>
      </c>
      <c r="AD29" s="32">
        <f>Raw_Adjusted_Prices!AD33/Raw_Adjusted_Prices!AD32-1</f>
        <v/>
      </c>
      <c r="AE29" s="32">
        <f>Raw_Adjusted_Prices!AE33/Raw_Adjusted_Prices!AE32-1</f>
        <v/>
      </c>
      <c r="AF29" s="32">
        <f>Raw_Adjusted_Prices!AF33/Raw_Adjusted_Prices!AF32-1</f>
        <v/>
      </c>
      <c r="AG29" s="32">
        <f>Raw_Adjusted_Prices!AG33/Raw_Adjusted_Prices!AG32-1</f>
        <v/>
      </c>
      <c r="AH29" s="32">
        <f>Raw_Adjusted_Prices!AH33/Raw_Adjusted_Prices!AH32-1</f>
        <v/>
      </c>
      <c r="AI29" s="32">
        <f>Raw_Adjusted_Prices!AI33/Raw_Adjusted_Prices!AI32-1</f>
        <v/>
      </c>
      <c r="AJ29" s="32">
        <f>Raw_Adjusted_Prices!AJ33/Raw_Adjusted_Prices!AJ32-1</f>
        <v/>
      </c>
      <c r="AK29" s="32">
        <f>Raw_Adjusted_Prices!AK33/Raw_Adjusted_Prices!AK32-1</f>
        <v/>
      </c>
      <c r="AL29" s="32">
        <f>Raw_Adjusted_Prices!AL33/Raw_Adjusted_Prices!AL32-1</f>
        <v/>
      </c>
      <c r="AM29" s="32">
        <f>Raw_Adjusted_Prices!AM33/Raw_Adjusted_Prices!AM32-1</f>
        <v/>
      </c>
      <c r="AN29" s="32">
        <f>Raw_Adjusted_Prices!AN33/Raw_Adjusted_Prices!AN32-1</f>
        <v/>
      </c>
    </row>
    <row r="30">
      <c r="A30" s="31" t="inlineStr">
        <is>
          <t>2017-05-01</t>
        </is>
      </c>
      <c r="B30" s="32">
        <f>Raw_Adjusted_Prices!B34/Raw_Adjusted_Prices!B33-1</f>
        <v/>
      </c>
      <c r="C30" s="32">
        <f>Raw_Adjusted_Prices!C34/Raw_Adjusted_Prices!C33-1</f>
        <v/>
      </c>
      <c r="D30" s="32">
        <f>Raw_Adjusted_Prices!D34/Raw_Adjusted_Prices!D33-1</f>
        <v/>
      </c>
      <c r="E30" s="32">
        <f>Raw_Adjusted_Prices!E34/Raw_Adjusted_Prices!E33-1</f>
        <v/>
      </c>
      <c r="F30" s="32">
        <f>Raw_Adjusted_Prices!F34/Raw_Adjusted_Prices!F33-1</f>
        <v/>
      </c>
      <c r="G30" s="32">
        <f>Raw_Adjusted_Prices!G34/Raw_Adjusted_Prices!G33-1</f>
        <v/>
      </c>
      <c r="H30" s="32">
        <f>Raw_Adjusted_Prices!H34/Raw_Adjusted_Prices!H33-1</f>
        <v/>
      </c>
      <c r="I30" s="32">
        <f>Raw_Adjusted_Prices!I34/Raw_Adjusted_Prices!I33-1</f>
        <v/>
      </c>
      <c r="J30" s="32">
        <f>Raw_Adjusted_Prices!J34/Raw_Adjusted_Prices!J33-1</f>
        <v/>
      </c>
      <c r="K30" s="32">
        <f>Raw_Adjusted_Prices!K34/Raw_Adjusted_Prices!K33-1</f>
        <v/>
      </c>
      <c r="L30" s="32">
        <f>Raw_Adjusted_Prices!L34/Raw_Adjusted_Prices!L33-1</f>
        <v/>
      </c>
      <c r="M30" s="32">
        <f>Raw_Adjusted_Prices!M34/Raw_Adjusted_Prices!M33-1</f>
        <v/>
      </c>
      <c r="N30" s="32">
        <f>Raw_Adjusted_Prices!N34/Raw_Adjusted_Prices!N33-1</f>
        <v/>
      </c>
      <c r="O30" s="32">
        <f>Raw_Adjusted_Prices!O34/Raw_Adjusted_Prices!O33-1</f>
        <v/>
      </c>
      <c r="P30" s="32">
        <f>Raw_Adjusted_Prices!P34/Raw_Adjusted_Prices!P33-1</f>
        <v/>
      </c>
      <c r="Q30" s="32">
        <f>Raw_Adjusted_Prices!Q34/Raw_Adjusted_Prices!Q33-1</f>
        <v/>
      </c>
      <c r="R30" s="32">
        <f>Raw_Adjusted_Prices!R34/Raw_Adjusted_Prices!R33-1</f>
        <v/>
      </c>
      <c r="S30" s="32">
        <f>Raw_Adjusted_Prices!S34/Raw_Adjusted_Prices!S33-1</f>
        <v/>
      </c>
      <c r="T30" s="32">
        <f>Raw_Adjusted_Prices!T34/Raw_Adjusted_Prices!T33-1</f>
        <v/>
      </c>
      <c r="U30" s="32">
        <f>Raw_Adjusted_Prices!U34/Raw_Adjusted_Prices!U33-1</f>
        <v/>
      </c>
      <c r="V30" s="32">
        <f>Raw_Adjusted_Prices!V34/Raw_Adjusted_Prices!V33-1</f>
        <v/>
      </c>
      <c r="W30" s="32">
        <f>Raw_Adjusted_Prices!W34/Raw_Adjusted_Prices!W33-1</f>
        <v/>
      </c>
      <c r="X30" s="32">
        <f>Raw_Adjusted_Prices!X34/Raw_Adjusted_Prices!X33-1</f>
        <v/>
      </c>
      <c r="Y30" s="32">
        <f>Raw_Adjusted_Prices!Y34/Raw_Adjusted_Prices!Y33-1</f>
        <v/>
      </c>
      <c r="Z30" s="32">
        <f>Raw_Adjusted_Prices!Z34/Raw_Adjusted_Prices!Z33-1</f>
        <v/>
      </c>
      <c r="AA30" s="32">
        <f>Raw_Adjusted_Prices!AA34/Raw_Adjusted_Prices!AA33-1</f>
        <v/>
      </c>
      <c r="AB30" s="32">
        <f>Raw_Adjusted_Prices!AB34/Raw_Adjusted_Prices!AB33-1</f>
        <v/>
      </c>
      <c r="AC30" s="32">
        <f>Raw_Adjusted_Prices!AC34/Raw_Adjusted_Prices!AC33-1</f>
        <v/>
      </c>
      <c r="AD30" s="32">
        <f>Raw_Adjusted_Prices!AD34/Raw_Adjusted_Prices!AD33-1</f>
        <v/>
      </c>
      <c r="AE30" s="32">
        <f>Raw_Adjusted_Prices!AE34/Raw_Adjusted_Prices!AE33-1</f>
        <v/>
      </c>
      <c r="AF30" s="32">
        <f>Raw_Adjusted_Prices!AF34/Raw_Adjusted_Prices!AF33-1</f>
        <v/>
      </c>
      <c r="AG30" s="32">
        <f>Raw_Adjusted_Prices!AG34/Raw_Adjusted_Prices!AG33-1</f>
        <v/>
      </c>
      <c r="AH30" s="32">
        <f>Raw_Adjusted_Prices!AH34/Raw_Adjusted_Prices!AH33-1</f>
        <v/>
      </c>
      <c r="AI30" s="32">
        <f>Raw_Adjusted_Prices!AI34/Raw_Adjusted_Prices!AI33-1</f>
        <v/>
      </c>
      <c r="AJ30" s="32">
        <f>Raw_Adjusted_Prices!AJ34/Raw_Adjusted_Prices!AJ33-1</f>
        <v/>
      </c>
      <c r="AK30" s="32">
        <f>Raw_Adjusted_Prices!AK34/Raw_Adjusted_Prices!AK33-1</f>
        <v/>
      </c>
      <c r="AL30" s="32">
        <f>Raw_Adjusted_Prices!AL34/Raw_Adjusted_Prices!AL33-1</f>
        <v/>
      </c>
      <c r="AM30" s="32">
        <f>Raw_Adjusted_Prices!AM34/Raw_Adjusted_Prices!AM33-1</f>
        <v/>
      </c>
      <c r="AN30" s="32">
        <f>Raw_Adjusted_Prices!AN34/Raw_Adjusted_Prices!AN33-1</f>
        <v/>
      </c>
    </row>
    <row r="31">
      <c r="A31" s="31" t="inlineStr">
        <is>
          <t>2017-06-01</t>
        </is>
      </c>
      <c r="B31" s="32">
        <f>Raw_Adjusted_Prices!B35/Raw_Adjusted_Prices!B34-1</f>
        <v/>
      </c>
      <c r="C31" s="32">
        <f>Raw_Adjusted_Prices!C35/Raw_Adjusted_Prices!C34-1</f>
        <v/>
      </c>
      <c r="D31" s="32">
        <f>Raw_Adjusted_Prices!D35/Raw_Adjusted_Prices!D34-1</f>
        <v/>
      </c>
      <c r="E31" s="32">
        <f>Raw_Adjusted_Prices!E35/Raw_Adjusted_Prices!E34-1</f>
        <v/>
      </c>
      <c r="F31" s="32">
        <f>Raw_Adjusted_Prices!F35/Raw_Adjusted_Prices!F34-1</f>
        <v/>
      </c>
      <c r="G31" s="32">
        <f>Raw_Adjusted_Prices!G35/Raw_Adjusted_Prices!G34-1</f>
        <v/>
      </c>
      <c r="H31" s="32">
        <f>Raw_Adjusted_Prices!H35/Raw_Adjusted_Prices!H34-1</f>
        <v/>
      </c>
      <c r="I31" s="32">
        <f>Raw_Adjusted_Prices!I35/Raw_Adjusted_Prices!I34-1</f>
        <v/>
      </c>
      <c r="J31" s="32">
        <f>Raw_Adjusted_Prices!J35/Raw_Adjusted_Prices!J34-1</f>
        <v/>
      </c>
      <c r="K31" s="32">
        <f>Raw_Adjusted_Prices!K35/Raw_Adjusted_Prices!K34-1</f>
        <v/>
      </c>
      <c r="L31" s="32">
        <f>Raw_Adjusted_Prices!L35/Raw_Adjusted_Prices!L34-1</f>
        <v/>
      </c>
      <c r="M31" s="32">
        <f>Raw_Adjusted_Prices!M35/Raw_Adjusted_Prices!M34-1</f>
        <v/>
      </c>
      <c r="N31" s="32">
        <f>Raw_Adjusted_Prices!N35/Raw_Adjusted_Prices!N34-1</f>
        <v/>
      </c>
      <c r="O31" s="32">
        <f>Raw_Adjusted_Prices!O35/Raw_Adjusted_Prices!O34-1</f>
        <v/>
      </c>
      <c r="P31" s="32">
        <f>Raw_Adjusted_Prices!P35/Raw_Adjusted_Prices!P34-1</f>
        <v/>
      </c>
      <c r="Q31" s="32">
        <f>Raw_Adjusted_Prices!Q35/Raw_Adjusted_Prices!Q34-1</f>
        <v/>
      </c>
      <c r="R31" s="32">
        <f>Raw_Adjusted_Prices!R35/Raw_Adjusted_Prices!R34-1</f>
        <v/>
      </c>
      <c r="S31" s="32">
        <f>Raw_Adjusted_Prices!S35/Raw_Adjusted_Prices!S34-1</f>
        <v/>
      </c>
      <c r="T31" s="32">
        <f>Raw_Adjusted_Prices!T35/Raw_Adjusted_Prices!T34-1</f>
        <v/>
      </c>
      <c r="U31" s="32">
        <f>Raw_Adjusted_Prices!U35/Raw_Adjusted_Prices!U34-1</f>
        <v/>
      </c>
      <c r="V31" s="32">
        <f>Raw_Adjusted_Prices!V35/Raw_Adjusted_Prices!V34-1</f>
        <v/>
      </c>
      <c r="W31" s="32">
        <f>Raw_Adjusted_Prices!W35/Raw_Adjusted_Prices!W34-1</f>
        <v/>
      </c>
      <c r="X31" s="32">
        <f>Raw_Adjusted_Prices!X35/Raw_Adjusted_Prices!X34-1</f>
        <v/>
      </c>
      <c r="Y31" s="32">
        <f>Raw_Adjusted_Prices!Y35/Raw_Adjusted_Prices!Y34-1</f>
        <v/>
      </c>
      <c r="Z31" s="32">
        <f>Raw_Adjusted_Prices!Z35/Raw_Adjusted_Prices!Z34-1</f>
        <v/>
      </c>
      <c r="AA31" s="32">
        <f>Raw_Adjusted_Prices!AA35/Raw_Adjusted_Prices!AA34-1</f>
        <v/>
      </c>
      <c r="AB31" s="32">
        <f>Raw_Adjusted_Prices!AB35/Raw_Adjusted_Prices!AB34-1</f>
        <v/>
      </c>
      <c r="AC31" s="32">
        <f>Raw_Adjusted_Prices!AC35/Raw_Adjusted_Prices!AC34-1</f>
        <v/>
      </c>
      <c r="AD31" s="32">
        <f>Raw_Adjusted_Prices!AD35/Raw_Adjusted_Prices!AD34-1</f>
        <v/>
      </c>
      <c r="AE31" s="32">
        <f>Raw_Adjusted_Prices!AE35/Raw_Adjusted_Prices!AE34-1</f>
        <v/>
      </c>
      <c r="AF31" s="32">
        <f>Raw_Adjusted_Prices!AF35/Raw_Adjusted_Prices!AF34-1</f>
        <v/>
      </c>
      <c r="AG31" s="32">
        <f>Raw_Adjusted_Prices!AG35/Raw_Adjusted_Prices!AG34-1</f>
        <v/>
      </c>
      <c r="AH31" s="32">
        <f>Raw_Adjusted_Prices!AH35/Raw_Adjusted_Prices!AH34-1</f>
        <v/>
      </c>
      <c r="AI31" s="32">
        <f>Raw_Adjusted_Prices!AI35/Raw_Adjusted_Prices!AI34-1</f>
        <v/>
      </c>
      <c r="AJ31" s="32">
        <f>Raw_Adjusted_Prices!AJ35/Raw_Adjusted_Prices!AJ34-1</f>
        <v/>
      </c>
      <c r="AK31" s="32">
        <f>Raw_Adjusted_Prices!AK35/Raw_Adjusted_Prices!AK34-1</f>
        <v/>
      </c>
      <c r="AL31" s="32">
        <f>Raw_Adjusted_Prices!AL35/Raw_Adjusted_Prices!AL34-1</f>
        <v/>
      </c>
      <c r="AM31" s="32">
        <f>Raw_Adjusted_Prices!AM35/Raw_Adjusted_Prices!AM34-1</f>
        <v/>
      </c>
      <c r="AN31" s="32">
        <f>Raw_Adjusted_Prices!AN35/Raw_Adjusted_Prices!AN34-1</f>
        <v/>
      </c>
    </row>
    <row r="32">
      <c r="A32" s="31" t="inlineStr">
        <is>
          <t>2017-07-01</t>
        </is>
      </c>
      <c r="B32" s="32">
        <f>Raw_Adjusted_Prices!B36/Raw_Adjusted_Prices!B35-1</f>
        <v/>
      </c>
      <c r="C32" s="32">
        <f>Raw_Adjusted_Prices!C36/Raw_Adjusted_Prices!C35-1</f>
        <v/>
      </c>
      <c r="D32" s="32">
        <f>Raw_Adjusted_Prices!D36/Raw_Adjusted_Prices!D35-1</f>
        <v/>
      </c>
      <c r="E32" s="32">
        <f>Raw_Adjusted_Prices!E36/Raw_Adjusted_Prices!E35-1</f>
        <v/>
      </c>
      <c r="F32" s="32">
        <f>Raw_Adjusted_Prices!F36/Raw_Adjusted_Prices!F35-1</f>
        <v/>
      </c>
      <c r="G32" s="32">
        <f>Raw_Adjusted_Prices!G36/Raw_Adjusted_Prices!G35-1</f>
        <v/>
      </c>
      <c r="H32" s="32">
        <f>Raw_Adjusted_Prices!H36/Raw_Adjusted_Prices!H35-1</f>
        <v/>
      </c>
      <c r="I32" s="32">
        <f>Raw_Adjusted_Prices!I36/Raw_Adjusted_Prices!I35-1</f>
        <v/>
      </c>
      <c r="J32" s="32">
        <f>Raw_Adjusted_Prices!J36/Raw_Adjusted_Prices!J35-1</f>
        <v/>
      </c>
      <c r="K32" s="32">
        <f>Raw_Adjusted_Prices!K36/Raw_Adjusted_Prices!K35-1</f>
        <v/>
      </c>
      <c r="L32" s="32">
        <f>Raw_Adjusted_Prices!L36/Raw_Adjusted_Prices!L35-1</f>
        <v/>
      </c>
      <c r="M32" s="32">
        <f>Raw_Adjusted_Prices!M36/Raw_Adjusted_Prices!M35-1</f>
        <v/>
      </c>
      <c r="N32" s="32">
        <f>Raw_Adjusted_Prices!N36/Raw_Adjusted_Prices!N35-1</f>
        <v/>
      </c>
      <c r="O32" s="32">
        <f>Raw_Adjusted_Prices!O36/Raw_Adjusted_Prices!O35-1</f>
        <v/>
      </c>
      <c r="P32" s="32">
        <f>Raw_Adjusted_Prices!P36/Raw_Adjusted_Prices!P35-1</f>
        <v/>
      </c>
      <c r="Q32" s="32">
        <f>Raw_Adjusted_Prices!Q36/Raw_Adjusted_Prices!Q35-1</f>
        <v/>
      </c>
      <c r="R32" s="32">
        <f>Raw_Adjusted_Prices!R36/Raw_Adjusted_Prices!R35-1</f>
        <v/>
      </c>
      <c r="S32" s="32">
        <f>Raw_Adjusted_Prices!S36/Raw_Adjusted_Prices!S35-1</f>
        <v/>
      </c>
      <c r="T32" s="32">
        <f>Raw_Adjusted_Prices!T36/Raw_Adjusted_Prices!T35-1</f>
        <v/>
      </c>
      <c r="U32" s="32">
        <f>Raw_Adjusted_Prices!U36/Raw_Adjusted_Prices!U35-1</f>
        <v/>
      </c>
      <c r="V32" s="32">
        <f>Raw_Adjusted_Prices!V36/Raw_Adjusted_Prices!V35-1</f>
        <v/>
      </c>
      <c r="W32" s="32">
        <f>Raw_Adjusted_Prices!W36/Raw_Adjusted_Prices!W35-1</f>
        <v/>
      </c>
      <c r="X32" s="32">
        <f>Raw_Adjusted_Prices!X36/Raw_Adjusted_Prices!X35-1</f>
        <v/>
      </c>
      <c r="Y32" s="32">
        <f>Raw_Adjusted_Prices!Y36/Raw_Adjusted_Prices!Y35-1</f>
        <v/>
      </c>
      <c r="Z32" s="32">
        <f>Raw_Adjusted_Prices!Z36/Raw_Adjusted_Prices!Z35-1</f>
        <v/>
      </c>
      <c r="AA32" s="32">
        <f>Raw_Adjusted_Prices!AA36/Raw_Adjusted_Prices!AA35-1</f>
        <v/>
      </c>
      <c r="AB32" s="32">
        <f>Raw_Adjusted_Prices!AB36/Raw_Adjusted_Prices!AB35-1</f>
        <v/>
      </c>
      <c r="AC32" s="32">
        <f>Raw_Adjusted_Prices!AC36/Raw_Adjusted_Prices!AC35-1</f>
        <v/>
      </c>
      <c r="AD32" s="32">
        <f>Raw_Adjusted_Prices!AD36/Raw_Adjusted_Prices!AD35-1</f>
        <v/>
      </c>
      <c r="AE32" s="32">
        <f>Raw_Adjusted_Prices!AE36/Raw_Adjusted_Prices!AE35-1</f>
        <v/>
      </c>
      <c r="AF32" s="32">
        <f>Raw_Adjusted_Prices!AF36/Raw_Adjusted_Prices!AF35-1</f>
        <v/>
      </c>
      <c r="AG32" s="32">
        <f>Raw_Adjusted_Prices!AG36/Raw_Adjusted_Prices!AG35-1</f>
        <v/>
      </c>
      <c r="AH32" s="32">
        <f>Raw_Adjusted_Prices!AH36/Raw_Adjusted_Prices!AH35-1</f>
        <v/>
      </c>
      <c r="AI32" s="32">
        <f>Raw_Adjusted_Prices!AI36/Raw_Adjusted_Prices!AI35-1</f>
        <v/>
      </c>
      <c r="AJ32" s="32">
        <f>Raw_Adjusted_Prices!AJ36/Raw_Adjusted_Prices!AJ35-1</f>
        <v/>
      </c>
      <c r="AK32" s="32">
        <f>Raw_Adjusted_Prices!AK36/Raw_Adjusted_Prices!AK35-1</f>
        <v/>
      </c>
      <c r="AL32" s="32">
        <f>Raw_Adjusted_Prices!AL36/Raw_Adjusted_Prices!AL35-1</f>
        <v/>
      </c>
      <c r="AM32" s="32">
        <f>Raw_Adjusted_Prices!AM36/Raw_Adjusted_Prices!AM35-1</f>
        <v/>
      </c>
      <c r="AN32" s="32">
        <f>Raw_Adjusted_Prices!AN36/Raw_Adjusted_Prices!AN35-1</f>
        <v/>
      </c>
    </row>
    <row r="33">
      <c r="A33" s="31" t="inlineStr">
        <is>
          <t>2017-08-01</t>
        </is>
      </c>
      <c r="B33" s="32">
        <f>Raw_Adjusted_Prices!B37/Raw_Adjusted_Prices!B36-1</f>
        <v/>
      </c>
      <c r="C33" s="32">
        <f>Raw_Adjusted_Prices!C37/Raw_Adjusted_Prices!C36-1</f>
        <v/>
      </c>
      <c r="D33" s="32">
        <f>Raw_Adjusted_Prices!D37/Raw_Adjusted_Prices!D36-1</f>
        <v/>
      </c>
      <c r="E33" s="32">
        <f>Raw_Adjusted_Prices!E37/Raw_Adjusted_Prices!E36-1</f>
        <v/>
      </c>
      <c r="F33" s="32">
        <f>Raw_Adjusted_Prices!F37/Raw_Adjusted_Prices!F36-1</f>
        <v/>
      </c>
      <c r="G33" s="32">
        <f>Raw_Adjusted_Prices!G37/Raw_Adjusted_Prices!G36-1</f>
        <v/>
      </c>
      <c r="H33" s="32">
        <f>Raw_Adjusted_Prices!H37/Raw_Adjusted_Prices!H36-1</f>
        <v/>
      </c>
      <c r="I33" s="32">
        <f>Raw_Adjusted_Prices!I37/Raw_Adjusted_Prices!I36-1</f>
        <v/>
      </c>
      <c r="J33" s="32">
        <f>Raw_Adjusted_Prices!J37/Raw_Adjusted_Prices!J36-1</f>
        <v/>
      </c>
      <c r="K33" s="32">
        <f>Raw_Adjusted_Prices!K37/Raw_Adjusted_Prices!K36-1</f>
        <v/>
      </c>
      <c r="L33" s="32">
        <f>Raw_Adjusted_Prices!L37/Raw_Adjusted_Prices!L36-1</f>
        <v/>
      </c>
      <c r="M33" s="32">
        <f>Raw_Adjusted_Prices!M37/Raw_Adjusted_Prices!M36-1</f>
        <v/>
      </c>
      <c r="N33" s="32">
        <f>Raw_Adjusted_Prices!N37/Raw_Adjusted_Prices!N36-1</f>
        <v/>
      </c>
      <c r="O33" s="32">
        <f>Raw_Adjusted_Prices!O37/Raw_Adjusted_Prices!O36-1</f>
        <v/>
      </c>
      <c r="P33" s="32">
        <f>Raw_Adjusted_Prices!P37/Raw_Adjusted_Prices!P36-1</f>
        <v/>
      </c>
      <c r="Q33" s="32">
        <f>Raw_Adjusted_Prices!Q37/Raw_Adjusted_Prices!Q36-1</f>
        <v/>
      </c>
      <c r="R33" s="32">
        <f>Raw_Adjusted_Prices!R37/Raw_Adjusted_Prices!R36-1</f>
        <v/>
      </c>
      <c r="S33" s="32">
        <f>Raw_Adjusted_Prices!S37/Raw_Adjusted_Prices!S36-1</f>
        <v/>
      </c>
      <c r="T33" s="32">
        <f>Raw_Adjusted_Prices!T37/Raw_Adjusted_Prices!T36-1</f>
        <v/>
      </c>
      <c r="U33" s="32">
        <f>Raw_Adjusted_Prices!U37/Raw_Adjusted_Prices!U36-1</f>
        <v/>
      </c>
      <c r="V33" s="32">
        <f>Raw_Adjusted_Prices!V37/Raw_Adjusted_Prices!V36-1</f>
        <v/>
      </c>
      <c r="W33" s="32">
        <f>Raw_Adjusted_Prices!W37/Raw_Adjusted_Prices!W36-1</f>
        <v/>
      </c>
      <c r="X33" s="32">
        <f>Raw_Adjusted_Prices!X37/Raw_Adjusted_Prices!X36-1</f>
        <v/>
      </c>
      <c r="Y33" s="32">
        <f>Raw_Adjusted_Prices!Y37/Raw_Adjusted_Prices!Y36-1</f>
        <v/>
      </c>
      <c r="Z33" s="32">
        <f>Raw_Adjusted_Prices!Z37/Raw_Adjusted_Prices!Z36-1</f>
        <v/>
      </c>
      <c r="AA33" s="32">
        <f>Raw_Adjusted_Prices!AA37/Raw_Adjusted_Prices!AA36-1</f>
        <v/>
      </c>
      <c r="AB33" s="32">
        <f>Raw_Adjusted_Prices!AB37/Raw_Adjusted_Prices!AB36-1</f>
        <v/>
      </c>
      <c r="AC33" s="32">
        <f>Raw_Adjusted_Prices!AC37/Raw_Adjusted_Prices!AC36-1</f>
        <v/>
      </c>
      <c r="AD33" s="32">
        <f>Raw_Adjusted_Prices!AD37/Raw_Adjusted_Prices!AD36-1</f>
        <v/>
      </c>
      <c r="AE33" s="32">
        <f>Raw_Adjusted_Prices!AE37/Raw_Adjusted_Prices!AE36-1</f>
        <v/>
      </c>
      <c r="AF33" s="32">
        <f>Raw_Adjusted_Prices!AF37/Raw_Adjusted_Prices!AF36-1</f>
        <v/>
      </c>
      <c r="AG33" s="32">
        <f>Raw_Adjusted_Prices!AG37/Raw_Adjusted_Prices!AG36-1</f>
        <v/>
      </c>
      <c r="AH33" s="32">
        <f>Raw_Adjusted_Prices!AH37/Raw_Adjusted_Prices!AH36-1</f>
        <v/>
      </c>
      <c r="AI33" s="32">
        <f>Raw_Adjusted_Prices!AI37/Raw_Adjusted_Prices!AI36-1</f>
        <v/>
      </c>
      <c r="AJ33" s="32">
        <f>Raw_Adjusted_Prices!AJ37/Raw_Adjusted_Prices!AJ36-1</f>
        <v/>
      </c>
      <c r="AK33" s="32">
        <f>Raw_Adjusted_Prices!AK37/Raw_Adjusted_Prices!AK36-1</f>
        <v/>
      </c>
      <c r="AL33" s="32">
        <f>Raw_Adjusted_Prices!AL37/Raw_Adjusted_Prices!AL36-1</f>
        <v/>
      </c>
      <c r="AM33" s="32">
        <f>Raw_Adjusted_Prices!AM37/Raw_Adjusted_Prices!AM36-1</f>
        <v/>
      </c>
      <c r="AN33" s="32">
        <f>Raw_Adjusted_Prices!AN37/Raw_Adjusted_Prices!AN36-1</f>
        <v/>
      </c>
    </row>
    <row r="34">
      <c r="A34" s="31" t="inlineStr">
        <is>
          <t>2017-09-01</t>
        </is>
      </c>
      <c r="B34" s="32">
        <f>Raw_Adjusted_Prices!B38/Raw_Adjusted_Prices!B37-1</f>
        <v/>
      </c>
      <c r="C34" s="32">
        <f>Raw_Adjusted_Prices!C38/Raw_Adjusted_Prices!C37-1</f>
        <v/>
      </c>
      <c r="D34" s="32">
        <f>Raw_Adjusted_Prices!D38/Raw_Adjusted_Prices!D37-1</f>
        <v/>
      </c>
      <c r="E34" s="32">
        <f>Raw_Adjusted_Prices!E38/Raw_Adjusted_Prices!E37-1</f>
        <v/>
      </c>
      <c r="F34" s="32">
        <f>Raw_Adjusted_Prices!F38/Raw_Adjusted_Prices!F37-1</f>
        <v/>
      </c>
      <c r="G34" s="32">
        <f>Raw_Adjusted_Prices!G38/Raw_Adjusted_Prices!G37-1</f>
        <v/>
      </c>
      <c r="H34" s="32">
        <f>Raw_Adjusted_Prices!H38/Raw_Adjusted_Prices!H37-1</f>
        <v/>
      </c>
      <c r="I34" s="32">
        <f>Raw_Adjusted_Prices!I38/Raw_Adjusted_Prices!I37-1</f>
        <v/>
      </c>
      <c r="J34" s="32">
        <f>Raw_Adjusted_Prices!J38/Raw_Adjusted_Prices!J37-1</f>
        <v/>
      </c>
      <c r="K34" s="32">
        <f>Raw_Adjusted_Prices!K38/Raw_Adjusted_Prices!K37-1</f>
        <v/>
      </c>
      <c r="L34" s="32">
        <f>Raw_Adjusted_Prices!L38/Raw_Adjusted_Prices!L37-1</f>
        <v/>
      </c>
      <c r="M34" s="32">
        <f>Raw_Adjusted_Prices!M38/Raw_Adjusted_Prices!M37-1</f>
        <v/>
      </c>
      <c r="N34" s="32">
        <f>Raw_Adjusted_Prices!N38/Raw_Adjusted_Prices!N37-1</f>
        <v/>
      </c>
      <c r="O34" s="32">
        <f>Raw_Adjusted_Prices!O38/Raw_Adjusted_Prices!O37-1</f>
        <v/>
      </c>
      <c r="P34" s="32">
        <f>Raw_Adjusted_Prices!P38/Raw_Adjusted_Prices!P37-1</f>
        <v/>
      </c>
      <c r="Q34" s="32">
        <f>Raw_Adjusted_Prices!Q38/Raw_Adjusted_Prices!Q37-1</f>
        <v/>
      </c>
      <c r="R34" s="32">
        <f>Raw_Adjusted_Prices!R38/Raw_Adjusted_Prices!R37-1</f>
        <v/>
      </c>
      <c r="S34" s="32">
        <f>Raw_Adjusted_Prices!S38/Raw_Adjusted_Prices!S37-1</f>
        <v/>
      </c>
      <c r="T34" s="32">
        <f>Raw_Adjusted_Prices!T38/Raw_Adjusted_Prices!T37-1</f>
        <v/>
      </c>
      <c r="U34" s="32">
        <f>Raw_Adjusted_Prices!U38/Raw_Adjusted_Prices!U37-1</f>
        <v/>
      </c>
      <c r="V34" s="32">
        <f>Raw_Adjusted_Prices!V38/Raw_Adjusted_Prices!V37-1</f>
        <v/>
      </c>
      <c r="W34" s="32">
        <f>Raw_Adjusted_Prices!W38/Raw_Adjusted_Prices!W37-1</f>
        <v/>
      </c>
      <c r="X34" s="32">
        <f>Raw_Adjusted_Prices!X38/Raw_Adjusted_Prices!X37-1</f>
        <v/>
      </c>
      <c r="Y34" s="32">
        <f>Raw_Adjusted_Prices!Y38/Raw_Adjusted_Prices!Y37-1</f>
        <v/>
      </c>
      <c r="Z34" s="32">
        <f>Raw_Adjusted_Prices!Z38/Raw_Adjusted_Prices!Z37-1</f>
        <v/>
      </c>
      <c r="AA34" s="32">
        <f>Raw_Adjusted_Prices!AA38/Raw_Adjusted_Prices!AA37-1</f>
        <v/>
      </c>
      <c r="AB34" s="32">
        <f>Raw_Adjusted_Prices!AB38/Raw_Adjusted_Prices!AB37-1</f>
        <v/>
      </c>
      <c r="AC34" s="32">
        <f>Raw_Adjusted_Prices!AC38/Raw_Adjusted_Prices!AC37-1</f>
        <v/>
      </c>
      <c r="AD34" s="32">
        <f>Raw_Adjusted_Prices!AD38/Raw_Adjusted_Prices!AD37-1</f>
        <v/>
      </c>
      <c r="AE34" s="32">
        <f>Raw_Adjusted_Prices!AE38/Raw_Adjusted_Prices!AE37-1</f>
        <v/>
      </c>
      <c r="AF34" s="32">
        <f>Raw_Adjusted_Prices!AF38/Raw_Adjusted_Prices!AF37-1</f>
        <v/>
      </c>
      <c r="AG34" s="32">
        <f>Raw_Adjusted_Prices!AG38/Raw_Adjusted_Prices!AG37-1</f>
        <v/>
      </c>
      <c r="AH34" s="32">
        <f>Raw_Adjusted_Prices!AH38/Raw_Adjusted_Prices!AH37-1</f>
        <v/>
      </c>
      <c r="AI34" s="32">
        <f>Raw_Adjusted_Prices!AI38/Raw_Adjusted_Prices!AI37-1</f>
        <v/>
      </c>
      <c r="AJ34" s="32">
        <f>Raw_Adjusted_Prices!AJ38/Raw_Adjusted_Prices!AJ37-1</f>
        <v/>
      </c>
      <c r="AK34" s="32">
        <f>Raw_Adjusted_Prices!AK38/Raw_Adjusted_Prices!AK37-1</f>
        <v/>
      </c>
      <c r="AL34" s="32">
        <f>Raw_Adjusted_Prices!AL38/Raw_Adjusted_Prices!AL37-1</f>
        <v/>
      </c>
      <c r="AM34" s="32">
        <f>Raw_Adjusted_Prices!AM38/Raw_Adjusted_Prices!AM37-1</f>
        <v/>
      </c>
      <c r="AN34" s="32">
        <f>Raw_Adjusted_Prices!AN38/Raw_Adjusted_Prices!AN37-1</f>
        <v/>
      </c>
    </row>
    <row r="35">
      <c r="A35" s="31" t="inlineStr">
        <is>
          <t>2017-10-01</t>
        </is>
      </c>
      <c r="B35" s="32">
        <f>Raw_Adjusted_Prices!B39/Raw_Adjusted_Prices!B38-1</f>
        <v/>
      </c>
      <c r="C35" s="32">
        <f>Raw_Adjusted_Prices!C39/Raw_Adjusted_Prices!C38-1</f>
        <v/>
      </c>
      <c r="D35" s="32">
        <f>Raw_Adjusted_Prices!D39/Raw_Adjusted_Prices!D38-1</f>
        <v/>
      </c>
      <c r="E35" s="32">
        <f>Raw_Adjusted_Prices!E39/Raw_Adjusted_Prices!E38-1</f>
        <v/>
      </c>
      <c r="F35" s="32">
        <f>Raw_Adjusted_Prices!F39/Raw_Adjusted_Prices!F38-1</f>
        <v/>
      </c>
      <c r="G35" s="32">
        <f>Raw_Adjusted_Prices!G39/Raw_Adjusted_Prices!G38-1</f>
        <v/>
      </c>
      <c r="H35" s="32">
        <f>Raw_Adjusted_Prices!H39/Raw_Adjusted_Prices!H38-1</f>
        <v/>
      </c>
      <c r="I35" s="32">
        <f>Raw_Adjusted_Prices!I39/Raw_Adjusted_Prices!I38-1</f>
        <v/>
      </c>
      <c r="J35" s="32">
        <f>Raw_Adjusted_Prices!J39/Raw_Adjusted_Prices!J38-1</f>
        <v/>
      </c>
      <c r="K35" s="32">
        <f>Raw_Adjusted_Prices!K39/Raw_Adjusted_Prices!K38-1</f>
        <v/>
      </c>
      <c r="L35" s="32">
        <f>Raw_Adjusted_Prices!L39/Raw_Adjusted_Prices!L38-1</f>
        <v/>
      </c>
      <c r="M35" s="32">
        <f>Raw_Adjusted_Prices!M39/Raw_Adjusted_Prices!M38-1</f>
        <v/>
      </c>
      <c r="N35" s="32">
        <f>Raw_Adjusted_Prices!N39/Raw_Adjusted_Prices!N38-1</f>
        <v/>
      </c>
      <c r="O35" s="32">
        <f>Raw_Adjusted_Prices!O39/Raw_Adjusted_Prices!O38-1</f>
        <v/>
      </c>
      <c r="P35" s="32">
        <f>Raw_Adjusted_Prices!P39/Raw_Adjusted_Prices!P38-1</f>
        <v/>
      </c>
      <c r="Q35" s="32">
        <f>Raw_Adjusted_Prices!Q39/Raw_Adjusted_Prices!Q38-1</f>
        <v/>
      </c>
      <c r="R35" s="32">
        <f>Raw_Adjusted_Prices!R39/Raw_Adjusted_Prices!R38-1</f>
        <v/>
      </c>
      <c r="S35" s="32">
        <f>Raw_Adjusted_Prices!S39/Raw_Adjusted_Prices!S38-1</f>
        <v/>
      </c>
      <c r="T35" s="32">
        <f>Raw_Adjusted_Prices!T39/Raw_Adjusted_Prices!T38-1</f>
        <v/>
      </c>
      <c r="U35" s="32">
        <f>Raw_Adjusted_Prices!U39/Raw_Adjusted_Prices!U38-1</f>
        <v/>
      </c>
      <c r="V35" s="32">
        <f>Raw_Adjusted_Prices!V39/Raw_Adjusted_Prices!V38-1</f>
        <v/>
      </c>
      <c r="W35" s="32">
        <f>Raw_Adjusted_Prices!W39/Raw_Adjusted_Prices!W38-1</f>
        <v/>
      </c>
      <c r="X35" s="32">
        <f>Raw_Adjusted_Prices!X39/Raw_Adjusted_Prices!X38-1</f>
        <v/>
      </c>
      <c r="Y35" s="32">
        <f>Raw_Adjusted_Prices!Y39/Raw_Adjusted_Prices!Y38-1</f>
        <v/>
      </c>
      <c r="Z35" s="32">
        <f>Raw_Adjusted_Prices!Z39/Raw_Adjusted_Prices!Z38-1</f>
        <v/>
      </c>
      <c r="AA35" s="32">
        <f>Raw_Adjusted_Prices!AA39/Raw_Adjusted_Prices!AA38-1</f>
        <v/>
      </c>
      <c r="AB35" s="32">
        <f>Raw_Adjusted_Prices!AB39/Raw_Adjusted_Prices!AB38-1</f>
        <v/>
      </c>
      <c r="AC35" s="32">
        <f>Raw_Adjusted_Prices!AC39/Raw_Adjusted_Prices!AC38-1</f>
        <v/>
      </c>
      <c r="AD35" s="32">
        <f>Raw_Adjusted_Prices!AD39/Raw_Adjusted_Prices!AD38-1</f>
        <v/>
      </c>
      <c r="AE35" s="32">
        <f>Raw_Adjusted_Prices!AE39/Raw_Adjusted_Prices!AE38-1</f>
        <v/>
      </c>
      <c r="AF35" s="32">
        <f>Raw_Adjusted_Prices!AF39/Raw_Adjusted_Prices!AF38-1</f>
        <v/>
      </c>
      <c r="AG35" s="32">
        <f>Raw_Adjusted_Prices!AG39/Raw_Adjusted_Prices!AG38-1</f>
        <v/>
      </c>
      <c r="AH35" s="32">
        <f>Raw_Adjusted_Prices!AH39/Raw_Adjusted_Prices!AH38-1</f>
        <v/>
      </c>
      <c r="AI35" s="32">
        <f>Raw_Adjusted_Prices!AI39/Raw_Adjusted_Prices!AI38-1</f>
        <v/>
      </c>
      <c r="AJ35" s="32">
        <f>Raw_Adjusted_Prices!AJ39/Raw_Adjusted_Prices!AJ38-1</f>
        <v/>
      </c>
      <c r="AK35" s="32">
        <f>Raw_Adjusted_Prices!AK39/Raw_Adjusted_Prices!AK38-1</f>
        <v/>
      </c>
      <c r="AL35" s="32">
        <f>Raw_Adjusted_Prices!AL39/Raw_Adjusted_Prices!AL38-1</f>
        <v/>
      </c>
      <c r="AM35" s="32">
        <f>Raw_Adjusted_Prices!AM39/Raw_Adjusted_Prices!AM38-1</f>
        <v/>
      </c>
      <c r="AN35" s="32">
        <f>Raw_Adjusted_Prices!AN39/Raw_Adjusted_Prices!AN38-1</f>
        <v/>
      </c>
    </row>
    <row r="36">
      <c r="A36" s="31" t="inlineStr">
        <is>
          <t>2017-11-01</t>
        </is>
      </c>
      <c r="B36" s="32">
        <f>Raw_Adjusted_Prices!B40/Raw_Adjusted_Prices!B39-1</f>
        <v/>
      </c>
      <c r="C36" s="32">
        <f>Raw_Adjusted_Prices!C40/Raw_Adjusted_Prices!C39-1</f>
        <v/>
      </c>
      <c r="D36" s="32">
        <f>Raw_Adjusted_Prices!D40/Raw_Adjusted_Prices!D39-1</f>
        <v/>
      </c>
      <c r="E36" s="32">
        <f>Raw_Adjusted_Prices!E40/Raw_Adjusted_Prices!E39-1</f>
        <v/>
      </c>
      <c r="F36" s="32">
        <f>Raw_Adjusted_Prices!F40/Raw_Adjusted_Prices!F39-1</f>
        <v/>
      </c>
      <c r="G36" s="32">
        <f>Raw_Adjusted_Prices!G40/Raw_Adjusted_Prices!G39-1</f>
        <v/>
      </c>
      <c r="H36" s="32">
        <f>Raw_Adjusted_Prices!H40/Raw_Adjusted_Prices!H39-1</f>
        <v/>
      </c>
      <c r="I36" s="32">
        <f>Raw_Adjusted_Prices!I40/Raw_Adjusted_Prices!I39-1</f>
        <v/>
      </c>
      <c r="J36" s="32">
        <f>Raw_Adjusted_Prices!J40/Raw_Adjusted_Prices!J39-1</f>
        <v/>
      </c>
      <c r="K36" s="32">
        <f>Raw_Adjusted_Prices!K40/Raw_Adjusted_Prices!K39-1</f>
        <v/>
      </c>
      <c r="L36" s="32">
        <f>Raw_Adjusted_Prices!L40/Raw_Adjusted_Prices!L39-1</f>
        <v/>
      </c>
      <c r="M36" s="32">
        <f>Raw_Adjusted_Prices!M40/Raw_Adjusted_Prices!M39-1</f>
        <v/>
      </c>
      <c r="N36" s="32">
        <f>Raw_Adjusted_Prices!N40/Raw_Adjusted_Prices!N39-1</f>
        <v/>
      </c>
      <c r="O36" s="32">
        <f>Raw_Adjusted_Prices!O40/Raw_Adjusted_Prices!O39-1</f>
        <v/>
      </c>
      <c r="P36" s="32">
        <f>Raw_Adjusted_Prices!P40/Raw_Adjusted_Prices!P39-1</f>
        <v/>
      </c>
      <c r="Q36" s="32">
        <f>Raw_Adjusted_Prices!Q40/Raw_Adjusted_Prices!Q39-1</f>
        <v/>
      </c>
      <c r="R36" s="32">
        <f>Raw_Adjusted_Prices!R40/Raw_Adjusted_Prices!R39-1</f>
        <v/>
      </c>
      <c r="S36" s="32">
        <f>Raw_Adjusted_Prices!S40/Raw_Adjusted_Prices!S39-1</f>
        <v/>
      </c>
      <c r="T36" s="32">
        <f>Raw_Adjusted_Prices!T40/Raw_Adjusted_Prices!T39-1</f>
        <v/>
      </c>
      <c r="U36" s="32">
        <f>Raw_Adjusted_Prices!U40/Raw_Adjusted_Prices!U39-1</f>
        <v/>
      </c>
      <c r="V36" s="32">
        <f>Raw_Adjusted_Prices!V40/Raw_Adjusted_Prices!V39-1</f>
        <v/>
      </c>
      <c r="W36" s="32">
        <f>Raw_Adjusted_Prices!W40/Raw_Adjusted_Prices!W39-1</f>
        <v/>
      </c>
      <c r="X36" s="32">
        <f>Raw_Adjusted_Prices!X40/Raw_Adjusted_Prices!X39-1</f>
        <v/>
      </c>
      <c r="Y36" s="32">
        <f>Raw_Adjusted_Prices!Y40/Raw_Adjusted_Prices!Y39-1</f>
        <v/>
      </c>
      <c r="Z36" s="32">
        <f>Raw_Adjusted_Prices!Z40/Raw_Adjusted_Prices!Z39-1</f>
        <v/>
      </c>
      <c r="AA36" s="32">
        <f>Raw_Adjusted_Prices!AA40/Raw_Adjusted_Prices!AA39-1</f>
        <v/>
      </c>
      <c r="AB36" s="32">
        <f>Raw_Adjusted_Prices!AB40/Raw_Adjusted_Prices!AB39-1</f>
        <v/>
      </c>
      <c r="AC36" s="32">
        <f>Raw_Adjusted_Prices!AC40/Raw_Adjusted_Prices!AC39-1</f>
        <v/>
      </c>
      <c r="AD36" s="32">
        <f>Raw_Adjusted_Prices!AD40/Raw_Adjusted_Prices!AD39-1</f>
        <v/>
      </c>
      <c r="AE36" s="32">
        <f>Raw_Adjusted_Prices!AE40/Raw_Adjusted_Prices!AE39-1</f>
        <v/>
      </c>
      <c r="AF36" s="32">
        <f>Raw_Adjusted_Prices!AF40/Raw_Adjusted_Prices!AF39-1</f>
        <v/>
      </c>
      <c r="AG36" s="32">
        <f>Raw_Adjusted_Prices!AG40/Raw_Adjusted_Prices!AG39-1</f>
        <v/>
      </c>
      <c r="AH36" s="32">
        <f>Raw_Adjusted_Prices!AH40/Raw_Adjusted_Prices!AH39-1</f>
        <v/>
      </c>
      <c r="AI36" s="32">
        <f>Raw_Adjusted_Prices!AI40/Raw_Adjusted_Prices!AI39-1</f>
        <v/>
      </c>
      <c r="AJ36" s="32">
        <f>Raw_Adjusted_Prices!AJ40/Raw_Adjusted_Prices!AJ39-1</f>
        <v/>
      </c>
      <c r="AK36" s="32">
        <f>Raw_Adjusted_Prices!AK40/Raw_Adjusted_Prices!AK39-1</f>
        <v/>
      </c>
      <c r="AL36" s="32">
        <f>Raw_Adjusted_Prices!AL40/Raw_Adjusted_Prices!AL39-1</f>
        <v/>
      </c>
      <c r="AM36" s="32">
        <f>Raw_Adjusted_Prices!AM40/Raw_Adjusted_Prices!AM39-1</f>
        <v/>
      </c>
      <c r="AN36" s="32">
        <f>Raw_Adjusted_Prices!AN40/Raw_Adjusted_Prices!AN39-1</f>
        <v/>
      </c>
    </row>
    <row r="37">
      <c r="A37" s="31" t="inlineStr">
        <is>
          <t>2017-12-01</t>
        </is>
      </c>
      <c r="B37" s="32">
        <f>Raw_Adjusted_Prices!B41/Raw_Adjusted_Prices!B40-1</f>
        <v/>
      </c>
      <c r="C37" s="32">
        <f>Raw_Adjusted_Prices!C41/Raw_Adjusted_Prices!C40-1</f>
        <v/>
      </c>
      <c r="D37" s="32">
        <f>Raw_Adjusted_Prices!D41/Raw_Adjusted_Prices!D40-1</f>
        <v/>
      </c>
      <c r="E37" s="32">
        <f>Raw_Adjusted_Prices!E41/Raw_Adjusted_Prices!E40-1</f>
        <v/>
      </c>
      <c r="F37" s="32">
        <f>Raw_Adjusted_Prices!F41/Raw_Adjusted_Prices!F40-1</f>
        <v/>
      </c>
      <c r="G37" s="32">
        <f>Raw_Adjusted_Prices!G41/Raw_Adjusted_Prices!G40-1</f>
        <v/>
      </c>
      <c r="H37" s="32">
        <f>Raw_Adjusted_Prices!H41/Raw_Adjusted_Prices!H40-1</f>
        <v/>
      </c>
      <c r="I37" s="32">
        <f>Raw_Adjusted_Prices!I41/Raw_Adjusted_Prices!I40-1</f>
        <v/>
      </c>
      <c r="J37" s="32">
        <f>Raw_Adjusted_Prices!J41/Raw_Adjusted_Prices!J40-1</f>
        <v/>
      </c>
      <c r="K37" s="32">
        <f>Raw_Adjusted_Prices!K41/Raw_Adjusted_Prices!K40-1</f>
        <v/>
      </c>
      <c r="L37" s="32">
        <f>Raw_Adjusted_Prices!L41/Raw_Adjusted_Prices!L40-1</f>
        <v/>
      </c>
      <c r="M37" s="32">
        <f>Raw_Adjusted_Prices!M41/Raw_Adjusted_Prices!M40-1</f>
        <v/>
      </c>
      <c r="N37" s="32">
        <f>Raw_Adjusted_Prices!N41/Raw_Adjusted_Prices!N40-1</f>
        <v/>
      </c>
      <c r="O37" s="32">
        <f>Raw_Adjusted_Prices!O41/Raw_Adjusted_Prices!O40-1</f>
        <v/>
      </c>
      <c r="P37" s="32">
        <f>Raw_Adjusted_Prices!P41/Raw_Adjusted_Prices!P40-1</f>
        <v/>
      </c>
      <c r="Q37" s="32">
        <f>Raw_Adjusted_Prices!Q41/Raw_Adjusted_Prices!Q40-1</f>
        <v/>
      </c>
      <c r="R37" s="32">
        <f>Raw_Adjusted_Prices!R41/Raw_Adjusted_Prices!R40-1</f>
        <v/>
      </c>
      <c r="S37" s="32">
        <f>Raw_Adjusted_Prices!S41/Raw_Adjusted_Prices!S40-1</f>
        <v/>
      </c>
      <c r="T37" s="32">
        <f>Raw_Adjusted_Prices!T41/Raw_Adjusted_Prices!T40-1</f>
        <v/>
      </c>
      <c r="U37" s="32">
        <f>Raw_Adjusted_Prices!U41/Raw_Adjusted_Prices!U40-1</f>
        <v/>
      </c>
      <c r="V37" s="32">
        <f>Raw_Adjusted_Prices!V41/Raw_Adjusted_Prices!V40-1</f>
        <v/>
      </c>
      <c r="W37" s="32">
        <f>Raw_Adjusted_Prices!W41/Raw_Adjusted_Prices!W40-1</f>
        <v/>
      </c>
      <c r="X37" s="32">
        <f>Raw_Adjusted_Prices!X41/Raw_Adjusted_Prices!X40-1</f>
        <v/>
      </c>
      <c r="Y37" s="32">
        <f>Raw_Adjusted_Prices!Y41/Raw_Adjusted_Prices!Y40-1</f>
        <v/>
      </c>
      <c r="Z37" s="32">
        <f>Raw_Adjusted_Prices!Z41/Raw_Adjusted_Prices!Z40-1</f>
        <v/>
      </c>
      <c r="AA37" s="32">
        <f>Raw_Adjusted_Prices!AA41/Raw_Adjusted_Prices!AA40-1</f>
        <v/>
      </c>
      <c r="AB37" s="32">
        <f>Raw_Adjusted_Prices!AB41/Raw_Adjusted_Prices!AB40-1</f>
        <v/>
      </c>
      <c r="AC37" s="32">
        <f>Raw_Adjusted_Prices!AC41/Raw_Adjusted_Prices!AC40-1</f>
        <v/>
      </c>
      <c r="AD37" s="32">
        <f>Raw_Adjusted_Prices!AD41/Raw_Adjusted_Prices!AD40-1</f>
        <v/>
      </c>
      <c r="AE37" s="32">
        <f>Raw_Adjusted_Prices!AE41/Raw_Adjusted_Prices!AE40-1</f>
        <v/>
      </c>
      <c r="AF37" s="32">
        <f>Raw_Adjusted_Prices!AF41/Raw_Adjusted_Prices!AF40-1</f>
        <v/>
      </c>
      <c r="AG37" s="32">
        <f>Raw_Adjusted_Prices!AG41/Raw_Adjusted_Prices!AG40-1</f>
        <v/>
      </c>
      <c r="AH37" s="32">
        <f>Raw_Adjusted_Prices!AH41/Raw_Adjusted_Prices!AH40-1</f>
        <v/>
      </c>
      <c r="AI37" s="32">
        <f>Raw_Adjusted_Prices!AI41/Raw_Adjusted_Prices!AI40-1</f>
        <v/>
      </c>
      <c r="AJ37" s="32">
        <f>Raw_Adjusted_Prices!AJ41/Raw_Adjusted_Prices!AJ40-1</f>
        <v/>
      </c>
      <c r="AK37" s="32">
        <f>Raw_Adjusted_Prices!AK41/Raw_Adjusted_Prices!AK40-1</f>
        <v/>
      </c>
      <c r="AL37" s="32">
        <f>Raw_Adjusted_Prices!AL41/Raw_Adjusted_Prices!AL40-1</f>
        <v/>
      </c>
      <c r="AM37" s="32">
        <f>Raw_Adjusted_Prices!AM41/Raw_Adjusted_Prices!AM40-1</f>
        <v/>
      </c>
      <c r="AN37" s="32">
        <f>Raw_Adjusted_Prices!AN41/Raw_Adjusted_Prices!AN40-1</f>
        <v/>
      </c>
    </row>
    <row r="38">
      <c r="A38" s="31" t="inlineStr">
        <is>
          <t>2018-01-01</t>
        </is>
      </c>
      <c r="B38" s="32">
        <f>Raw_Adjusted_Prices!B42/Raw_Adjusted_Prices!B41-1</f>
        <v/>
      </c>
      <c r="C38" s="32">
        <f>Raw_Adjusted_Prices!C42/Raw_Adjusted_Prices!C41-1</f>
        <v/>
      </c>
      <c r="D38" s="32">
        <f>Raw_Adjusted_Prices!D42/Raw_Adjusted_Prices!D41-1</f>
        <v/>
      </c>
      <c r="E38" s="32">
        <f>Raw_Adjusted_Prices!E42/Raw_Adjusted_Prices!E41-1</f>
        <v/>
      </c>
      <c r="F38" s="32">
        <f>Raw_Adjusted_Prices!F42/Raw_Adjusted_Prices!F41-1</f>
        <v/>
      </c>
      <c r="G38" s="32">
        <f>Raw_Adjusted_Prices!G42/Raw_Adjusted_Prices!G41-1</f>
        <v/>
      </c>
      <c r="H38" s="32">
        <f>Raw_Adjusted_Prices!H42/Raw_Adjusted_Prices!H41-1</f>
        <v/>
      </c>
      <c r="I38" s="32">
        <f>Raw_Adjusted_Prices!I42/Raw_Adjusted_Prices!I41-1</f>
        <v/>
      </c>
      <c r="J38" s="32">
        <f>Raw_Adjusted_Prices!J42/Raw_Adjusted_Prices!J41-1</f>
        <v/>
      </c>
      <c r="K38" s="32">
        <f>Raw_Adjusted_Prices!K42/Raw_Adjusted_Prices!K41-1</f>
        <v/>
      </c>
      <c r="L38" s="32">
        <f>Raw_Adjusted_Prices!L42/Raw_Adjusted_Prices!L41-1</f>
        <v/>
      </c>
      <c r="M38" s="32">
        <f>Raw_Adjusted_Prices!M42/Raw_Adjusted_Prices!M41-1</f>
        <v/>
      </c>
      <c r="N38" s="32">
        <f>Raw_Adjusted_Prices!N42/Raw_Adjusted_Prices!N41-1</f>
        <v/>
      </c>
      <c r="O38" s="32">
        <f>Raw_Adjusted_Prices!O42/Raw_Adjusted_Prices!O41-1</f>
        <v/>
      </c>
      <c r="P38" s="32">
        <f>Raw_Adjusted_Prices!P42/Raw_Adjusted_Prices!P41-1</f>
        <v/>
      </c>
      <c r="Q38" s="32">
        <f>Raw_Adjusted_Prices!Q42/Raw_Adjusted_Prices!Q41-1</f>
        <v/>
      </c>
      <c r="R38" s="32">
        <f>Raw_Adjusted_Prices!R42/Raw_Adjusted_Prices!R41-1</f>
        <v/>
      </c>
      <c r="S38" s="32">
        <f>Raw_Adjusted_Prices!S42/Raw_Adjusted_Prices!S41-1</f>
        <v/>
      </c>
      <c r="T38" s="32">
        <f>Raw_Adjusted_Prices!T42/Raw_Adjusted_Prices!T41-1</f>
        <v/>
      </c>
      <c r="U38" s="32">
        <f>Raw_Adjusted_Prices!U42/Raw_Adjusted_Prices!U41-1</f>
        <v/>
      </c>
      <c r="V38" s="32">
        <f>Raw_Adjusted_Prices!V42/Raw_Adjusted_Prices!V41-1</f>
        <v/>
      </c>
      <c r="W38" s="32">
        <f>Raw_Adjusted_Prices!W42/Raw_Adjusted_Prices!W41-1</f>
        <v/>
      </c>
      <c r="X38" s="32">
        <f>Raw_Adjusted_Prices!X42/Raw_Adjusted_Prices!X41-1</f>
        <v/>
      </c>
      <c r="Y38" s="32">
        <f>Raw_Adjusted_Prices!Y42/Raw_Adjusted_Prices!Y41-1</f>
        <v/>
      </c>
      <c r="Z38" s="32">
        <f>Raw_Adjusted_Prices!Z42/Raw_Adjusted_Prices!Z41-1</f>
        <v/>
      </c>
      <c r="AA38" s="32">
        <f>Raw_Adjusted_Prices!AA42/Raw_Adjusted_Prices!AA41-1</f>
        <v/>
      </c>
      <c r="AB38" s="32">
        <f>Raw_Adjusted_Prices!AB42/Raw_Adjusted_Prices!AB41-1</f>
        <v/>
      </c>
      <c r="AC38" s="32">
        <f>Raw_Adjusted_Prices!AC42/Raw_Adjusted_Prices!AC41-1</f>
        <v/>
      </c>
      <c r="AD38" s="32">
        <f>Raw_Adjusted_Prices!AD42/Raw_Adjusted_Prices!AD41-1</f>
        <v/>
      </c>
      <c r="AE38" s="32">
        <f>Raw_Adjusted_Prices!AE42/Raw_Adjusted_Prices!AE41-1</f>
        <v/>
      </c>
      <c r="AF38" s="32">
        <f>Raw_Adjusted_Prices!AF42/Raw_Adjusted_Prices!AF41-1</f>
        <v/>
      </c>
      <c r="AG38" s="32">
        <f>Raw_Adjusted_Prices!AG42/Raw_Adjusted_Prices!AG41-1</f>
        <v/>
      </c>
      <c r="AH38" s="32">
        <f>Raw_Adjusted_Prices!AH42/Raw_Adjusted_Prices!AH41-1</f>
        <v/>
      </c>
      <c r="AI38" s="32">
        <f>Raw_Adjusted_Prices!AI42/Raw_Adjusted_Prices!AI41-1</f>
        <v/>
      </c>
      <c r="AJ38" s="32">
        <f>Raw_Adjusted_Prices!AJ42/Raw_Adjusted_Prices!AJ41-1</f>
        <v/>
      </c>
      <c r="AK38" s="32">
        <f>Raw_Adjusted_Prices!AK42/Raw_Adjusted_Prices!AK41-1</f>
        <v/>
      </c>
      <c r="AL38" s="32">
        <f>Raw_Adjusted_Prices!AL42/Raw_Adjusted_Prices!AL41-1</f>
        <v/>
      </c>
      <c r="AM38" s="32">
        <f>Raw_Adjusted_Prices!AM42/Raw_Adjusted_Prices!AM41-1</f>
        <v/>
      </c>
      <c r="AN38" s="32">
        <f>Raw_Adjusted_Prices!AN42/Raw_Adjusted_Prices!AN41-1</f>
        <v/>
      </c>
    </row>
    <row r="39">
      <c r="A39" s="31" t="inlineStr">
        <is>
          <t>2018-02-01</t>
        </is>
      </c>
      <c r="B39" s="32">
        <f>Raw_Adjusted_Prices!B43/Raw_Adjusted_Prices!B42-1</f>
        <v/>
      </c>
      <c r="C39" s="32">
        <f>Raw_Adjusted_Prices!C43/Raw_Adjusted_Prices!C42-1</f>
        <v/>
      </c>
      <c r="D39" s="32">
        <f>Raw_Adjusted_Prices!D43/Raw_Adjusted_Prices!D42-1</f>
        <v/>
      </c>
      <c r="E39" s="32">
        <f>Raw_Adjusted_Prices!E43/Raw_Adjusted_Prices!E42-1</f>
        <v/>
      </c>
      <c r="F39" s="32">
        <f>Raw_Adjusted_Prices!F43/Raw_Adjusted_Prices!F42-1</f>
        <v/>
      </c>
      <c r="G39" s="32">
        <f>Raw_Adjusted_Prices!G43/Raw_Adjusted_Prices!G42-1</f>
        <v/>
      </c>
      <c r="H39" s="32">
        <f>Raw_Adjusted_Prices!H43/Raw_Adjusted_Prices!H42-1</f>
        <v/>
      </c>
      <c r="I39" s="32">
        <f>Raw_Adjusted_Prices!I43/Raw_Adjusted_Prices!I42-1</f>
        <v/>
      </c>
      <c r="J39" s="32">
        <f>Raw_Adjusted_Prices!J43/Raw_Adjusted_Prices!J42-1</f>
        <v/>
      </c>
      <c r="K39" s="32">
        <f>Raw_Adjusted_Prices!K43/Raw_Adjusted_Prices!K42-1</f>
        <v/>
      </c>
      <c r="L39" s="32">
        <f>Raw_Adjusted_Prices!L43/Raw_Adjusted_Prices!L42-1</f>
        <v/>
      </c>
      <c r="M39" s="32">
        <f>Raw_Adjusted_Prices!M43/Raw_Adjusted_Prices!M42-1</f>
        <v/>
      </c>
      <c r="N39" s="32">
        <f>Raw_Adjusted_Prices!N43/Raw_Adjusted_Prices!N42-1</f>
        <v/>
      </c>
      <c r="O39" s="32">
        <f>Raw_Adjusted_Prices!O43/Raw_Adjusted_Prices!O42-1</f>
        <v/>
      </c>
      <c r="P39" s="32">
        <f>Raw_Adjusted_Prices!P43/Raw_Adjusted_Prices!P42-1</f>
        <v/>
      </c>
      <c r="Q39" s="32">
        <f>Raw_Adjusted_Prices!Q43/Raw_Adjusted_Prices!Q42-1</f>
        <v/>
      </c>
      <c r="R39" s="32">
        <f>Raw_Adjusted_Prices!R43/Raw_Adjusted_Prices!R42-1</f>
        <v/>
      </c>
      <c r="S39" s="32">
        <f>Raw_Adjusted_Prices!S43/Raw_Adjusted_Prices!S42-1</f>
        <v/>
      </c>
      <c r="T39" s="32">
        <f>Raw_Adjusted_Prices!T43/Raw_Adjusted_Prices!T42-1</f>
        <v/>
      </c>
      <c r="U39" s="32">
        <f>Raw_Adjusted_Prices!U43/Raw_Adjusted_Prices!U42-1</f>
        <v/>
      </c>
      <c r="V39" s="32">
        <f>Raw_Adjusted_Prices!V43/Raw_Adjusted_Prices!V42-1</f>
        <v/>
      </c>
      <c r="W39" s="32">
        <f>Raw_Adjusted_Prices!W43/Raw_Adjusted_Prices!W42-1</f>
        <v/>
      </c>
      <c r="X39" s="32">
        <f>Raw_Adjusted_Prices!X43/Raw_Adjusted_Prices!X42-1</f>
        <v/>
      </c>
      <c r="Y39" s="32">
        <f>Raw_Adjusted_Prices!Y43/Raw_Adjusted_Prices!Y42-1</f>
        <v/>
      </c>
      <c r="Z39" s="32">
        <f>Raw_Adjusted_Prices!Z43/Raw_Adjusted_Prices!Z42-1</f>
        <v/>
      </c>
      <c r="AA39" s="32">
        <f>Raw_Adjusted_Prices!AA43/Raw_Adjusted_Prices!AA42-1</f>
        <v/>
      </c>
      <c r="AB39" s="32">
        <f>Raw_Adjusted_Prices!AB43/Raw_Adjusted_Prices!AB42-1</f>
        <v/>
      </c>
      <c r="AC39" s="32">
        <f>Raw_Adjusted_Prices!AC43/Raw_Adjusted_Prices!AC42-1</f>
        <v/>
      </c>
      <c r="AD39" s="32">
        <f>Raw_Adjusted_Prices!AD43/Raw_Adjusted_Prices!AD42-1</f>
        <v/>
      </c>
      <c r="AE39" s="32">
        <f>Raw_Adjusted_Prices!AE43/Raw_Adjusted_Prices!AE42-1</f>
        <v/>
      </c>
      <c r="AF39" s="32">
        <f>Raw_Adjusted_Prices!AF43/Raw_Adjusted_Prices!AF42-1</f>
        <v/>
      </c>
      <c r="AG39" s="32">
        <f>Raw_Adjusted_Prices!AG43/Raw_Adjusted_Prices!AG42-1</f>
        <v/>
      </c>
      <c r="AH39" s="32">
        <f>Raw_Adjusted_Prices!AH43/Raw_Adjusted_Prices!AH42-1</f>
        <v/>
      </c>
      <c r="AI39" s="32">
        <f>Raw_Adjusted_Prices!AI43/Raw_Adjusted_Prices!AI42-1</f>
        <v/>
      </c>
      <c r="AJ39" s="32">
        <f>Raw_Adjusted_Prices!AJ43/Raw_Adjusted_Prices!AJ42-1</f>
        <v/>
      </c>
      <c r="AK39" s="32">
        <f>Raw_Adjusted_Prices!AK43/Raw_Adjusted_Prices!AK42-1</f>
        <v/>
      </c>
      <c r="AL39" s="32">
        <f>Raw_Adjusted_Prices!AL43/Raw_Adjusted_Prices!AL42-1</f>
        <v/>
      </c>
      <c r="AM39" s="32">
        <f>Raw_Adjusted_Prices!AM43/Raw_Adjusted_Prices!AM42-1</f>
        <v/>
      </c>
      <c r="AN39" s="32">
        <f>Raw_Adjusted_Prices!AN43/Raw_Adjusted_Prices!AN42-1</f>
        <v/>
      </c>
    </row>
    <row r="40">
      <c r="A40" s="31" t="inlineStr">
        <is>
          <t>2018-03-01</t>
        </is>
      </c>
      <c r="B40" s="32">
        <f>Raw_Adjusted_Prices!B44/Raw_Adjusted_Prices!B43-1</f>
        <v/>
      </c>
      <c r="C40" s="32">
        <f>Raw_Adjusted_Prices!C44/Raw_Adjusted_Prices!C43-1</f>
        <v/>
      </c>
      <c r="D40" s="32">
        <f>Raw_Adjusted_Prices!D44/Raw_Adjusted_Prices!D43-1</f>
        <v/>
      </c>
      <c r="E40" s="32">
        <f>Raw_Adjusted_Prices!E44/Raw_Adjusted_Prices!E43-1</f>
        <v/>
      </c>
      <c r="F40" s="32">
        <f>Raw_Adjusted_Prices!F44/Raw_Adjusted_Prices!F43-1</f>
        <v/>
      </c>
      <c r="G40" s="32">
        <f>Raw_Adjusted_Prices!G44/Raw_Adjusted_Prices!G43-1</f>
        <v/>
      </c>
      <c r="H40" s="32">
        <f>Raw_Adjusted_Prices!H44/Raw_Adjusted_Prices!H43-1</f>
        <v/>
      </c>
      <c r="I40" s="32">
        <f>Raw_Adjusted_Prices!I44/Raw_Adjusted_Prices!I43-1</f>
        <v/>
      </c>
      <c r="J40" s="32">
        <f>Raw_Adjusted_Prices!J44/Raw_Adjusted_Prices!J43-1</f>
        <v/>
      </c>
      <c r="K40" s="32">
        <f>Raw_Adjusted_Prices!K44/Raw_Adjusted_Prices!K43-1</f>
        <v/>
      </c>
      <c r="L40" s="32">
        <f>Raw_Adjusted_Prices!L44/Raw_Adjusted_Prices!L43-1</f>
        <v/>
      </c>
      <c r="M40" s="32">
        <f>Raw_Adjusted_Prices!M44/Raw_Adjusted_Prices!M43-1</f>
        <v/>
      </c>
      <c r="N40" s="32">
        <f>Raw_Adjusted_Prices!N44/Raw_Adjusted_Prices!N43-1</f>
        <v/>
      </c>
      <c r="O40" s="32">
        <f>Raw_Adjusted_Prices!O44/Raw_Adjusted_Prices!O43-1</f>
        <v/>
      </c>
      <c r="P40" s="32">
        <f>Raw_Adjusted_Prices!P44/Raw_Adjusted_Prices!P43-1</f>
        <v/>
      </c>
      <c r="Q40" s="32">
        <f>Raw_Adjusted_Prices!Q44/Raw_Adjusted_Prices!Q43-1</f>
        <v/>
      </c>
      <c r="R40" s="32">
        <f>Raw_Adjusted_Prices!R44/Raw_Adjusted_Prices!R43-1</f>
        <v/>
      </c>
      <c r="S40" s="32">
        <f>Raw_Adjusted_Prices!S44/Raw_Adjusted_Prices!S43-1</f>
        <v/>
      </c>
      <c r="T40" s="32">
        <f>Raw_Adjusted_Prices!T44/Raw_Adjusted_Prices!T43-1</f>
        <v/>
      </c>
      <c r="U40" s="32">
        <f>Raw_Adjusted_Prices!U44/Raw_Adjusted_Prices!U43-1</f>
        <v/>
      </c>
      <c r="V40" s="32">
        <f>Raw_Adjusted_Prices!V44/Raw_Adjusted_Prices!V43-1</f>
        <v/>
      </c>
      <c r="W40" s="32">
        <f>Raw_Adjusted_Prices!W44/Raw_Adjusted_Prices!W43-1</f>
        <v/>
      </c>
      <c r="X40" s="32">
        <f>Raw_Adjusted_Prices!X44/Raw_Adjusted_Prices!X43-1</f>
        <v/>
      </c>
      <c r="Y40" s="32">
        <f>Raw_Adjusted_Prices!Y44/Raw_Adjusted_Prices!Y43-1</f>
        <v/>
      </c>
      <c r="Z40" s="32">
        <f>Raw_Adjusted_Prices!Z44/Raw_Adjusted_Prices!Z43-1</f>
        <v/>
      </c>
      <c r="AA40" s="32">
        <f>Raw_Adjusted_Prices!AA44/Raw_Adjusted_Prices!AA43-1</f>
        <v/>
      </c>
      <c r="AB40" s="32">
        <f>Raw_Adjusted_Prices!AB44/Raw_Adjusted_Prices!AB43-1</f>
        <v/>
      </c>
      <c r="AC40" s="32">
        <f>Raw_Adjusted_Prices!AC44/Raw_Adjusted_Prices!AC43-1</f>
        <v/>
      </c>
      <c r="AD40" s="32">
        <f>Raw_Adjusted_Prices!AD44/Raw_Adjusted_Prices!AD43-1</f>
        <v/>
      </c>
      <c r="AE40" s="32">
        <f>Raw_Adjusted_Prices!AE44/Raw_Adjusted_Prices!AE43-1</f>
        <v/>
      </c>
      <c r="AF40" s="32">
        <f>Raw_Adjusted_Prices!AF44/Raw_Adjusted_Prices!AF43-1</f>
        <v/>
      </c>
      <c r="AG40" s="32">
        <f>Raw_Adjusted_Prices!AG44/Raw_Adjusted_Prices!AG43-1</f>
        <v/>
      </c>
      <c r="AH40" s="32">
        <f>Raw_Adjusted_Prices!AH44/Raw_Adjusted_Prices!AH43-1</f>
        <v/>
      </c>
      <c r="AI40" s="32">
        <f>Raw_Adjusted_Prices!AI44/Raw_Adjusted_Prices!AI43-1</f>
        <v/>
      </c>
      <c r="AJ40" s="32">
        <f>Raw_Adjusted_Prices!AJ44/Raw_Adjusted_Prices!AJ43-1</f>
        <v/>
      </c>
      <c r="AK40" s="32">
        <f>Raw_Adjusted_Prices!AK44/Raw_Adjusted_Prices!AK43-1</f>
        <v/>
      </c>
      <c r="AL40" s="32">
        <f>Raw_Adjusted_Prices!AL44/Raw_Adjusted_Prices!AL43-1</f>
        <v/>
      </c>
      <c r="AM40" s="32">
        <f>Raw_Adjusted_Prices!AM44/Raw_Adjusted_Prices!AM43-1</f>
        <v/>
      </c>
      <c r="AN40" s="32">
        <f>Raw_Adjusted_Prices!AN44/Raw_Adjusted_Prices!AN43-1</f>
        <v/>
      </c>
    </row>
    <row r="41">
      <c r="A41" s="31" t="inlineStr">
        <is>
          <t>2018-04-01</t>
        </is>
      </c>
      <c r="B41" s="32">
        <f>Raw_Adjusted_Prices!B45/Raw_Adjusted_Prices!B44-1</f>
        <v/>
      </c>
      <c r="C41" s="32">
        <f>Raw_Adjusted_Prices!C45/Raw_Adjusted_Prices!C44-1</f>
        <v/>
      </c>
      <c r="D41" s="32">
        <f>Raw_Adjusted_Prices!D45/Raw_Adjusted_Prices!D44-1</f>
        <v/>
      </c>
      <c r="E41" s="32">
        <f>Raw_Adjusted_Prices!E45/Raw_Adjusted_Prices!E44-1</f>
        <v/>
      </c>
      <c r="F41" s="32">
        <f>Raw_Adjusted_Prices!F45/Raw_Adjusted_Prices!F44-1</f>
        <v/>
      </c>
      <c r="G41" s="32">
        <f>Raw_Adjusted_Prices!G45/Raw_Adjusted_Prices!G44-1</f>
        <v/>
      </c>
      <c r="H41" s="32">
        <f>Raw_Adjusted_Prices!H45/Raw_Adjusted_Prices!H44-1</f>
        <v/>
      </c>
      <c r="I41" s="32">
        <f>Raw_Adjusted_Prices!I45/Raw_Adjusted_Prices!I44-1</f>
        <v/>
      </c>
      <c r="J41" s="32">
        <f>Raw_Adjusted_Prices!J45/Raw_Adjusted_Prices!J44-1</f>
        <v/>
      </c>
      <c r="K41" s="32">
        <f>Raw_Adjusted_Prices!K45/Raw_Adjusted_Prices!K44-1</f>
        <v/>
      </c>
      <c r="L41" s="32">
        <f>Raw_Adjusted_Prices!L45/Raw_Adjusted_Prices!L44-1</f>
        <v/>
      </c>
      <c r="M41" s="32">
        <f>Raw_Adjusted_Prices!M45/Raw_Adjusted_Prices!M44-1</f>
        <v/>
      </c>
      <c r="N41" s="32">
        <f>Raw_Adjusted_Prices!N45/Raw_Adjusted_Prices!N44-1</f>
        <v/>
      </c>
      <c r="O41" s="32">
        <f>Raw_Adjusted_Prices!O45/Raw_Adjusted_Prices!O44-1</f>
        <v/>
      </c>
      <c r="P41" s="32">
        <f>Raw_Adjusted_Prices!P45/Raw_Adjusted_Prices!P44-1</f>
        <v/>
      </c>
      <c r="Q41" s="32">
        <f>Raw_Adjusted_Prices!Q45/Raw_Adjusted_Prices!Q44-1</f>
        <v/>
      </c>
      <c r="R41" s="32">
        <f>Raw_Adjusted_Prices!R45/Raw_Adjusted_Prices!R44-1</f>
        <v/>
      </c>
      <c r="S41" s="32">
        <f>Raw_Adjusted_Prices!S45/Raw_Adjusted_Prices!S44-1</f>
        <v/>
      </c>
      <c r="T41" s="32">
        <f>Raw_Adjusted_Prices!T45/Raw_Adjusted_Prices!T44-1</f>
        <v/>
      </c>
      <c r="U41" s="32">
        <f>Raw_Adjusted_Prices!U45/Raw_Adjusted_Prices!U44-1</f>
        <v/>
      </c>
      <c r="V41" s="32">
        <f>Raw_Adjusted_Prices!V45/Raw_Adjusted_Prices!V44-1</f>
        <v/>
      </c>
      <c r="W41" s="32">
        <f>Raw_Adjusted_Prices!W45/Raw_Adjusted_Prices!W44-1</f>
        <v/>
      </c>
      <c r="X41" s="32">
        <f>Raw_Adjusted_Prices!X45/Raw_Adjusted_Prices!X44-1</f>
        <v/>
      </c>
      <c r="Y41" s="32">
        <f>Raw_Adjusted_Prices!Y45/Raw_Adjusted_Prices!Y44-1</f>
        <v/>
      </c>
      <c r="Z41" s="32">
        <f>Raw_Adjusted_Prices!Z45/Raw_Adjusted_Prices!Z44-1</f>
        <v/>
      </c>
      <c r="AA41" s="32">
        <f>Raw_Adjusted_Prices!AA45/Raw_Adjusted_Prices!AA44-1</f>
        <v/>
      </c>
      <c r="AB41" s="32">
        <f>Raw_Adjusted_Prices!AB45/Raw_Adjusted_Prices!AB44-1</f>
        <v/>
      </c>
      <c r="AC41" s="32">
        <f>Raw_Adjusted_Prices!AC45/Raw_Adjusted_Prices!AC44-1</f>
        <v/>
      </c>
      <c r="AD41" s="32">
        <f>Raw_Adjusted_Prices!AD45/Raw_Adjusted_Prices!AD44-1</f>
        <v/>
      </c>
      <c r="AE41" s="32">
        <f>Raw_Adjusted_Prices!AE45/Raw_Adjusted_Prices!AE44-1</f>
        <v/>
      </c>
      <c r="AF41" s="32">
        <f>Raw_Adjusted_Prices!AF45/Raw_Adjusted_Prices!AF44-1</f>
        <v/>
      </c>
      <c r="AG41" s="32">
        <f>Raw_Adjusted_Prices!AG45/Raw_Adjusted_Prices!AG44-1</f>
        <v/>
      </c>
      <c r="AH41" s="32">
        <f>Raw_Adjusted_Prices!AH45/Raw_Adjusted_Prices!AH44-1</f>
        <v/>
      </c>
      <c r="AI41" s="32">
        <f>Raw_Adjusted_Prices!AI45/Raw_Adjusted_Prices!AI44-1</f>
        <v/>
      </c>
      <c r="AJ41" s="32">
        <f>Raw_Adjusted_Prices!AJ45/Raw_Adjusted_Prices!AJ44-1</f>
        <v/>
      </c>
      <c r="AK41" s="32">
        <f>Raw_Adjusted_Prices!AK45/Raw_Adjusted_Prices!AK44-1</f>
        <v/>
      </c>
      <c r="AL41" s="32">
        <f>Raw_Adjusted_Prices!AL45/Raw_Adjusted_Prices!AL44-1</f>
        <v/>
      </c>
      <c r="AM41" s="32">
        <f>Raw_Adjusted_Prices!AM45/Raw_Adjusted_Prices!AM44-1</f>
        <v/>
      </c>
      <c r="AN41" s="32">
        <f>Raw_Adjusted_Prices!AN45/Raw_Adjusted_Prices!AN44-1</f>
        <v/>
      </c>
    </row>
    <row r="42">
      <c r="A42" s="31" t="inlineStr">
        <is>
          <t>2018-05-01</t>
        </is>
      </c>
      <c r="B42" s="32">
        <f>Raw_Adjusted_Prices!B46/Raw_Adjusted_Prices!B45-1</f>
        <v/>
      </c>
      <c r="C42" s="32">
        <f>Raw_Adjusted_Prices!C46/Raw_Adjusted_Prices!C45-1</f>
        <v/>
      </c>
      <c r="D42" s="32">
        <f>Raw_Adjusted_Prices!D46/Raw_Adjusted_Prices!D45-1</f>
        <v/>
      </c>
      <c r="E42" s="32">
        <f>Raw_Adjusted_Prices!E46/Raw_Adjusted_Prices!E45-1</f>
        <v/>
      </c>
      <c r="F42" s="32">
        <f>Raw_Adjusted_Prices!F46/Raw_Adjusted_Prices!F45-1</f>
        <v/>
      </c>
      <c r="G42" s="32">
        <f>Raw_Adjusted_Prices!G46/Raw_Adjusted_Prices!G45-1</f>
        <v/>
      </c>
      <c r="H42" s="32">
        <f>Raw_Adjusted_Prices!H46/Raw_Adjusted_Prices!H45-1</f>
        <v/>
      </c>
      <c r="I42" s="32">
        <f>Raw_Adjusted_Prices!I46/Raw_Adjusted_Prices!I45-1</f>
        <v/>
      </c>
      <c r="J42" s="32">
        <f>Raw_Adjusted_Prices!J46/Raw_Adjusted_Prices!J45-1</f>
        <v/>
      </c>
      <c r="K42" s="32">
        <f>Raw_Adjusted_Prices!K46/Raw_Adjusted_Prices!K45-1</f>
        <v/>
      </c>
      <c r="L42" s="32">
        <f>Raw_Adjusted_Prices!L46/Raw_Adjusted_Prices!L45-1</f>
        <v/>
      </c>
      <c r="M42" s="32">
        <f>Raw_Adjusted_Prices!M46/Raw_Adjusted_Prices!M45-1</f>
        <v/>
      </c>
      <c r="N42" s="32">
        <f>Raw_Adjusted_Prices!N46/Raw_Adjusted_Prices!N45-1</f>
        <v/>
      </c>
      <c r="O42" s="32">
        <f>Raw_Adjusted_Prices!O46/Raw_Adjusted_Prices!O45-1</f>
        <v/>
      </c>
      <c r="P42" s="32">
        <f>Raw_Adjusted_Prices!P46/Raw_Adjusted_Prices!P45-1</f>
        <v/>
      </c>
      <c r="Q42" s="32">
        <f>Raw_Adjusted_Prices!Q46/Raw_Adjusted_Prices!Q45-1</f>
        <v/>
      </c>
      <c r="R42" s="32">
        <f>Raw_Adjusted_Prices!R46/Raw_Adjusted_Prices!R45-1</f>
        <v/>
      </c>
      <c r="S42" s="32">
        <f>Raw_Adjusted_Prices!S46/Raw_Adjusted_Prices!S45-1</f>
        <v/>
      </c>
      <c r="T42" s="32">
        <f>Raw_Adjusted_Prices!T46/Raw_Adjusted_Prices!T45-1</f>
        <v/>
      </c>
      <c r="U42" s="32">
        <f>Raw_Adjusted_Prices!U46/Raw_Adjusted_Prices!U45-1</f>
        <v/>
      </c>
      <c r="V42" s="32">
        <f>Raw_Adjusted_Prices!V46/Raw_Adjusted_Prices!V45-1</f>
        <v/>
      </c>
      <c r="W42" s="32">
        <f>Raw_Adjusted_Prices!W46/Raw_Adjusted_Prices!W45-1</f>
        <v/>
      </c>
      <c r="X42" s="32">
        <f>Raw_Adjusted_Prices!X46/Raw_Adjusted_Prices!X45-1</f>
        <v/>
      </c>
      <c r="Y42" s="32">
        <f>Raw_Adjusted_Prices!Y46/Raw_Adjusted_Prices!Y45-1</f>
        <v/>
      </c>
      <c r="Z42" s="32">
        <f>Raw_Adjusted_Prices!Z46/Raw_Adjusted_Prices!Z45-1</f>
        <v/>
      </c>
      <c r="AA42" s="32">
        <f>Raw_Adjusted_Prices!AA46/Raw_Adjusted_Prices!AA45-1</f>
        <v/>
      </c>
      <c r="AB42" s="32">
        <f>Raw_Adjusted_Prices!AB46/Raw_Adjusted_Prices!AB45-1</f>
        <v/>
      </c>
      <c r="AC42" s="32">
        <f>Raw_Adjusted_Prices!AC46/Raw_Adjusted_Prices!AC45-1</f>
        <v/>
      </c>
      <c r="AD42" s="32">
        <f>Raw_Adjusted_Prices!AD46/Raw_Adjusted_Prices!AD45-1</f>
        <v/>
      </c>
      <c r="AE42" s="32">
        <f>Raw_Adjusted_Prices!AE46/Raw_Adjusted_Prices!AE45-1</f>
        <v/>
      </c>
      <c r="AF42" s="32">
        <f>Raw_Adjusted_Prices!AF46/Raw_Adjusted_Prices!AF45-1</f>
        <v/>
      </c>
      <c r="AG42" s="32">
        <f>Raw_Adjusted_Prices!AG46/Raw_Adjusted_Prices!AG45-1</f>
        <v/>
      </c>
      <c r="AH42" s="32">
        <f>Raw_Adjusted_Prices!AH46/Raw_Adjusted_Prices!AH45-1</f>
        <v/>
      </c>
      <c r="AI42" s="32">
        <f>Raw_Adjusted_Prices!AI46/Raw_Adjusted_Prices!AI45-1</f>
        <v/>
      </c>
      <c r="AJ42" s="32">
        <f>Raw_Adjusted_Prices!AJ46/Raw_Adjusted_Prices!AJ45-1</f>
        <v/>
      </c>
      <c r="AK42" s="32">
        <f>Raw_Adjusted_Prices!AK46/Raw_Adjusted_Prices!AK45-1</f>
        <v/>
      </c>
      <c r="AL42" s="32">
        <f>Raw_Adjusted_Prices!AL46/Raw_Adjusted_Prices!AL45-1</f>
        <v/>
      </c>
      <c r="AM42" s="32">
        <f>Raw_Adjusted_Prices!AM46/Raw_Adjusted_Prices!AM45-1</f>
        <v/>
      </c>
      <c r="AN42" s="32">
        <f>Raw_Adjusted_Prices!AN46/Raw_Adjusted_Prices!AN45-1</f>
        <v/>
      </c>
    </row>
    <row r="43">
      <c r="A43" s="31" t="inlineStr">
        <is>
          <t>2018-06-01</t>
        </is>
      </c>
      <c r="B43" s="32">
        <f>Raw_Adjusted_Prices!B47/Raw_Adjusted_Prices!B46-1</f>
        <v/>
      </c>
      <c r="C43" s="32">
        <f>Raw_Adjusted_Prices!C47/Raw_Adjusted_Prices!C46-1</f>
        <v/>
      </c>
      <c r="D43" s="32">
        <f>Raw_Adjusted_Prices!D47/Raw_Adjusted_Prices!D46-1</f>
        <v/>
      </c>
      <c r="E43" s="32">
        <f>Raw_Adjusted_Prices!E47/Raw_Adjusted_Prices!E46-1</f>
        <v/>
      </c>
      <c r="F43" s="32">
        <f>Raw_Adjusted_Prices!F47/Raw_Adjusted_Prices!F46-1</f>
        <v/>
      </c>
      <c r="G43" s="32">
        <f>Raw_Adjusted_Prices!G47/Raw_Adjusted_Prices!G46-1</f>
        <v/>
      </c>
      <c r="H43" s="32">
        <f>Raw_Adjusted_Prices!H47/Raw_Adjusted_Prices!H46-1</f>
        <v/>
      </c>
      <c r="I43" s="32">
        <f>Raw_Adjusted_Prices!I47/Raw_Adjusted_Prices!I46-1</f>
        <v/>
      </c>
      <c r="J43" s="32">
        <f>Raw_Adjusted_Prices!J47/Raw_Adjusted_Prices!J46-1</f>
        <v/>
      </c>
      <c r="K43" s="32">
        <f>Raw_Adjusted_Prices!K47/Raw_Adjusted_Prices!K46-1</f>
        <v/>
      </c>
      <c r="L43" s="32">
        <f>Raw_Adjusted_Prices!L47/Raw_Adjusted_Prices!L46-1</f>
        <v/>
      </c>
      <c r="M43" s="32">
        <f>Raw_Adjusted_Prices!M47/Raw_Adjusted_Prices!M46-1</f>
        <v/>
      </c>
      <c r="N43" s="32">
        <f>Raw_Adjusted_Prices!N47/Raw_Adjusted_Prices!N46-1</f>
        <v/>
      </c>
      <c r="O43" s="32">
        <f>Raw_Adjusted_Prices!O47/Raw_Adjusted_Prices!O46-1</f>
        <v/>
      </c>
      <c r="P43" s="32">
        <f>Raw_Adjusted_Prices!P47/Raw_Adjusted_Prices!P46-1</f>
        <v/>
      </c>
      <c r="Q43" s="32">
        <f>Raw_Adjusted_Prices!Q47/Raw_Adjusted_Prices!Q46-1</f>
        <v/>
      </c>
      <c r="R43" s="32">
        <f>Raw_Adjusted_Prices!R47/Raw_Adjusted_Prices!R46-1</f>
        <v/>
      </c>
      <c r="S43" s="32">
        <f>Raw_Adjusted_Prices!S47/Raw_Adjusted_Prices!S46-1</f>
        <v/>
      </c>
      <c r="T43" s="32">
        <f>Raw_Adjusted_Prices!T47/Raw_Adjusted_Prices!T46-1</f>
        <v/>
      </c>
      <c r="U43" s="32">
        <f>Raw_Adjusted_Prices!U47/Raw_Adjusted_Prices!U46-1</f>
        <v/>
      </c>
      <c r="V43" s="32">
        <f>Raw_Adjusted_Prices!V47/Raw_Adjusted_Prices!V46-1</f>
        <v/>
      </c>
      <c r="W43" s="32">
        <f>Raw_Adjusted_Prices!W47/Raw_Adjusted_Prices!W46-1</f>
        <v/>
      </c>
      <c r="X43" s="32">
        <f>Raw_Adjusted_Prices!X47/Raw_Adjusted_Prices!X46-1</f>
        <v/>
      </c>
      <c r="Y43" s="32">
        <f>Raw_Adjusted_Prices!Y47/Raw_Adjusted_Prices!Y46-1</f>
        <v/>
      </c>
      <c r="Z43" s="32">
        <f>Raw_Adjusted_Prices!Z47/Raw_Adjusted_Prices!Z46-1</f>
        <v/>
      </c>
      <c r="AA43" s="32">
        <f>Raw_Adjusted_Prices!AA47/Raw_Adjusted_Prices!AA46-1</f>
        <v/>
      </c>
      <c r="AB43" s="32">
        <f>Raw_Adjusted_Prices!AB47/Raw_Adjusted_Prices!AB46-1</f>
        <v/>
      </c>
      <c r="AC43" s="32">
        <f>Raw_Adjusted_Prices!AC47/Raw_Adjusted_Prices!AC46-1</f>
        <v/>
      </c>
      <c r="AD43" s="32">
        <f>Raw_Adjusted_Prices!AD47/Raw_Adjusted_Prices!AD46-1</f>
        <v/>
      </c>
      <c r="AE43" s="32">
        <f>Raw_Adjusted_Prices!AE47/Raw_Adjusted_Prices!AE46-1</f>
        <v/>
      </c>
      <c r="AF43" s="32">
        <f>Raw_Adjusted_Prices!AF47/Raw_Adjusted_Prices!AF46-1</f>
        <v/>
      </c>
      <c r="AG43" s="32">
        <f>Raw_Adjusted_Prices!AG47/Raw_Adjusted_Prices!AG46-1</f>
        <v/>
      </c>
      <c r="AH43" s="32">
        <f>Raw_Adjusted_Prices!AH47/Raw_Adjusted_Prices!AH46-1</f>
        <v/>
      </c>
      <c r="AI43" s="32">
        <f>Raw_Adjusted_Prices!AI47/Raw_Adjusted_Prices!AI46-1</f>
        <v/>
      </c>
      <c r="AJ43" s="32">
        <f>Raw_Adjusted_Prices!AJ47/Raw_Adjusted_Prices!AJ46-1</f>
        <v/>
      </c>
      <c r="AK43" s="32">
        <f>Raw_Adjusted_Prices!AK47/Raw_Adjusted_Prices!AK46-1</f>
        <v/>
      </c>
      <c r="AL43" s="32">
        <f>Raw_Adjusted_Prices!AL47/Raw_Adjusted_Prices!AL46-1</f>
        <v/>
      </c>
      <c r="AM43" s="32">
        <f>Raw_Adjusted_Prices!AM47/Raw_Adjusted_Prices!AM46-1</f>
        <v/>
      </c>
      <c r="AN43" s="32">
        <f>Raw_Adjusted_Prices!AN47/Raw_Adjusted_Prices!AN46-1</f>
        <v/>
      </c>
    </row>
    <row r="44">
      <c r="A44" s="31" t="inlineStr">
        <is>
          <t>2018-07-01</t>
        </is>
      </c>
      <c r="B44" s="32">
        <f>Raw_Adjusted_Prices!B48/Raw_Adjusted_Prices!B47-1</f>
        <v/>
      </c>
      <c r="C44" s="32">
        <f>Raw_Adjusted_Prices!C48/Raw_Adjusted_Prices!C47-1</f>
        <v/>
      </c>
      <c r="D44" s="32">
        <f>Raw_Adjusted_Prices!D48/Raw_Adjusted_Prices!D47-1</f>
        <v/>
      </c>
      <c r="E44" s="32">
        <f>Raw_Adjusted_Prices!E48/Raw_Adjusted_Prices!E47-1</f>
        <v/>
      </c>
      <c r="F44" s="32">
        <f>Raw_Adjusted_Prices!F48/Raw_Adjusted_Prices!F47-1</f>
        <v/>
      </c>
      <c r="G44" s="32">
        <f>Raw_Adjusted_Prices!G48/Raw_Adjusted_Prices!G47-1</f>
        <v/>
      </c>
      <c r="H44" s="32">
        <f>Raw_Adjusted_Prices!H48/Raw_Adjusted_Prices!H47-1</f>
        <v/>
      </c>
      <c r="I44" s="32">
        <f>Raw_Adjusted_Prices!I48/Raw_Adjusted_Prices!I47-1</f>
        <v/>
      </c>
      <c r="J44" s="32">
        <f>Raw_Adjusted_Prices!J48/Raw_Adjusted_Prices!J47-1</f>
        <v/>
      </c>
      <c r="K44" s="32">
        <f>Raw_Adjusted_Prices!K48/Raw_Adjusted_Prices!K47-1</f>
        <v/>
      </c>
      <c r="L44" s="32">
        <f>Raw_Adjusted_Prices!L48/Raw_Adjusted_Prices!L47-1</f>
        <v/>
      </c>
      <c r="M44" s="32">
        <f>Raw_Adjusted_Prices!M48/Raw_Adjusted_Prices!M47-1</f>
        <v/>
      </c>
      <c r="N44" s="32">
        <f>Raw_Adjusted_Prices!N48/Raw_Adjusted_Prices!N47-1</f>
        <v/>
      </c>
      <c r="O44" s="32">
        <f>Raw_Adjusted_Prices!O48/Raw_Adjusted_Prices!O47-1</f>
        <v/>
      </c>
      <c r="P44" s="32">
        <f>Raw_Adjusted_Prices!P48/Raw_Adjusted_Prices!P47-1</f>
        <v/>
      </c>
      <c r="Q44" s="32">
        <f>Raw_Adjusted_Prices!Q48/Raw_Adjusted_Prices!Q47-1</f>
        <v/>
      </c>
      <c r="R44" s="32">
        <f>Raw_Adjusted_Prices!R48/Raw_Adjusted_Prices!R47-1</f>
        <v/>
      </c>
      <c r="S44" s="32">
        <f>Raw_Adjusted_Prices!S48/Raw_Adjusted_Prices!S47-1</f>
        <v/>
      </c>
      <c r="T44" s="32">
        <f>Raw_Adjusted_Prices!T48/Raw_Adjusted_Prices!T47-1</f>
        <v/>
      </c>
      <c r="U44" s="32">
        <f>Raw_Adjusted_Prices!U48/Raw_Adjusted_Prices!U47-1</f>
        <v/>
      </c>
      <c r="V44" s="32">
        <f>Raw_Adjusted_Prices!V48/Raw_Adjusted_Prices!V47-1</f>
        <v/>
      </c>
      <c r="W44" s="32">
        <f>Raw_Adjusted_Prices!W48/Raw_Adjusted_Prices!W47-1</f>
        <v/>
      </c>
      <c r="X44" s="32">
        <f>Raw_Adjusted_Prices!X48/Raw_Adjusted_Prices!X47-1</f>
        <v/>
      </c>
      <c r="Y44" s="32">
        <f>Raw_Adjusted_Prices!Y48/Raw_Adjusted_Prices!Y47-1</f>
        <v/>
      </c>
      <c r="Z44" s="32">
        <f>Raw_Adjusted_Prices!Z48/Raw_Adjusted_Prices!Z47-1</f>
        <v/>
      </c>
      <c r="AA44" s="32">
        <f>Raw_Adjusted_Prices!AA48/Raw_Adjusted_Prices!AA47-1</f>
        <v/>
      </c>
      <c r="AB44" s="32">
        <f>Raw_Adjusted_Prices!AB48/Raw_Adjusted_Prices!AB47-1</f>
        <v/>
      </c>
      <c r="AC44" s="32">
        <f>Raw_Adjusted_Prices!AC48/Raw_Adjusted_Prices!AC47-1</f>
        <v/>
      </c>
      <c r="AD44" s="32">
        <f>Raw_Adjusted_Prices!AD48/Raw_Adjusted_Prices!AD47-1</f>
        <v/>
      </c>
      <c r="AE44" s="32">
        <f>Raw_Adjusted_Prices!AE48/Raw_Adjusted_Prices!AE47-1</f>
        <v/>
      </c>
      <c r="AF44" s="32">
        <f>Raw_Adjusted_Prices!AF48/Raw_Adjusted_Prices!AF47-1</f>
        <v/>
      </c>
      <c r="AG44" s="32">
        <f>Raw_Adjusted_Prices!AG48/Raw_Adjusted_Prices!AG47-1</f>
        <v/>
      </c>
      <c r="AH44" s="32">
        <f>Raw_Adjusted_Prices!AH48/Raw_Adjusted_Prices!AH47-1</f>
        <v/>
      </c>
      <c r="AI44" s="32">
        <f>Raw_Adjusted_Prices!AI48/Raw_Adjusted_Prices!AI47-1</f>
        <v/>
      </c>
      <c r="AJ44" s="32">
        <f>Raw_Adjusted_Prices!AJ48/Raw_Adjusted_Prices!AJ47-1</f>
        <v/>
      </c>
      <c r="AK44" s="32">
        <f>Raw_Adjusted_Prices!AK48/Raw_Adjusted_Prices!AK47-1</f>
        <v/>
      </c>
      <c r="AL44" s="32">
        <f>Raw_Adjusted_Prices!AL48/Raw_Adjusted_Prices!AL47-1</f>
        <v/>
      </c>
      <c r="AM44" s="32">
        <f>Raw_Adjusted_Prices!AM48/Raw_Adjusted_Prices!AM47-1</f>
        <v/>
      </c>
      <c r="AN44" s="32">
        <f>Raw_Adjusted_Prices!AN48/Raw_Adjusted_Prices!AN47-1</f>
        <v/>
      </c>
    </row>
    <row r="45">
      <c r="A45" s="31" t="inlineStr">
        <is>
          <t>2018-08-01</t>
        </is>
      </c>
      <c r="B45" s="32">
        <f>Raw_Adjusted_Prices!B49/Raw_Adjusted_Prices!B48-1</f>
        <v/>
      </c>
      <c r="C45" s="32">
        <f>Raw_Adjusted_Prices!C49/Raw_Adjusted_Prices!C48-1</f>
        <v/>
      </c>
      <c r="D45" s="32">
        <f>Raw_Adjusted_Prices!D49/Raw_Adjusted_Prices!D48-1</f>
        <v/>
      </c>
      <c r="E45" s="32">
        <f>Raw_Adjusted_Prices!E49/Raw_Adjusted_Prices!E48-1</f>
        <v/>
      </c>
      <c r="F45" s="32">
        <f>Raw_Adjusted_Prices!F49/Raw_Adjusted_Prices!F48-1</f>
        <v/>
      </c>
      <c r="G45" s="32">
        <f>Raw_Adjusted_Prices!G49/Raw_Adjusted_Prices!G48-1</f>
        <v/>
      </c>
      <c r="H45" s="32">
        <f>Raw_Adjusted_Prices!H49/Raw_Adjusted_Prices!H48-1</f>
        <v/>
      </c>
      <c r="I45" s="32">
        <f>Raw_Adjusted_Prices!I49/Raw_Adjusted_Prices!I48-1</f>
        <v/>
      </c>
      <c r="J45" s="32">
        <f>Raw_Adjusted_Prices!J49/Raw_Adjusted_Prices!J48-1</f>
        <v/>
      </c>
      <c r="K45" s="32">
        <f>Raw_Adjusted_Prices!K49/Raw_Adjusted_Prices!K48-1</f>
        <v/>
      </c>
      <c r="L45" s="32">
        <f>Raw_Adjusted_Prices!L49/Raw_Adjusted_Prices!L48-1</f>
        <v/>
      </c>
      <c r="M45" s="32">
        <f>Raw_Adjusted_Prices!M49/Raw_Adjusted_Prices!M48-1</f>
        <v/>
      </c>
      <c r="N45" s="32">
        <f>Raw_Adjusted_Prices!N49/Raw_Adjusted_Prices!N48-1</f>
        <v/>
      </c>
      <c r="O45" s="32">
        <f>Raw_Adjusted_Prices!O49/Raw_Adjusted_Prices!O48-1</f>
        <v/>
      </c>
      <c r="P45" s="32">
        <f>Raw_Adjusted_Prices!P49/Raw_Adjusted_Prices!P48-1</f>
        <v/>
      </c>
      <c r="Q45" s="32">
        <f>Raw_Adjusted_Prices!Q49/Raw_Adjusted_Prices!Q48-1</f>
        <v/>
      </c>
      <c r="R45" s="32">
        <f>Raw_Adjusted_Prices!R49/Raw_Adjusted_Prices!R48-1</f>
        <v/>
      </c>
      <c r="S45" s="32">
        <f>Raw_Adjusted_Prices!S49/Raw_Adjusted_Prices!S48-1</f>
        <v/>
      </c>
      <c r="T45" s="32">
        <f>Raw_Adjusted_Prices!T49/Raw_Adjusted_Prices!T48-1</f>
        <v/>
      </c>
      <c r="U45" s="32">
        <f>Raw_Adjusted_Prices!U49/Raw_Adjusted_Prices!U48-1</f>
        <v/>
      </c>
      <c r="V45" s="32">
        <f>Raw_Adjusted_Prices!V49/Raw_Adjusted_Prices!V48-1</f>
        <v/>
      </c>
      <c r="W45" s="32">
        <f>Raw_Adjusted_Prices!W49/Raw_Adjusted_Prices!W48-1</f>
        <v/>
      </c>
      <c r="X45" s="32">
        <f>Raw_Adjusted_Prices!X49/Raw_Adjusted_Prices!X48-1</f>
        <v/>
      </c>
      <c r="Y45" s="32">
        <f>Raw_Adjusted_Prices!Y49/Raw_Adjusted_Prices!Y48-1</f>
        <v/>
      </c>
      <c r="Z45" s="32">
        <f>Raw_Adjusted_Prices!Z49/Raw_Adjusted_Prices!Z48-1</f>
        <v/>
      </c>
      <c r="AA45" s="32">
        <f>Raw_Adjusted_Prices!AA49/Raw_Adjusted_Prices!AA48-1</f>
        <v/>
      </c>
      <c r="AB45" s="32">
        <f>Raw_Adjusted_Prices!AB49/Raw_Adjusted_Prices!AB48-1</f>
        <v/>
      </c>
      <c r="AC45" s="32">
        <f>Raw_Adjusted_Prices!AC49/Raw_Adjusted_Prices!AC48-1</f>
        <v/>
      </c>
      <c r="AD45" s="32">
        <f>Raw_Adjusted_Prices!AD49/Raw_Adjusted_Prices!AD48-1</f>
        <v/>
      </c>
      <c r="AE45" s="32">
        <f>Raw_Adjusted_Prices!AE49/Raw_Adjusted_Prices!AE48-1</f>
        <v/>
      </c>
      <c r="AF45" s="32">
        <f>Raw_Adjusted_Prices!AF49/Raw_Adjusted_Prices!AF48-1</f>
        <v/>
      </c>
      <c r="AG45" s="32">
        <f>Raw_Adjusted_Prices!AG49/Raw_Adjusted_Prices!AG48-1</f>
        <v/>
      </c>
      <c r="AH45" s="32">
        <f>Raw_Adjusted_Prices!AH49/Raw_Adjusted_Prices!AH48-1</f>
        <v/>
      </c>
      <c r="AI45" s="32">
        <f>Raw_Adjusted_Prices!AI49/Raw_Adjusted_Prices!AI48-1</f>
        <v/>
      </c>
      <c r="AJ45" s="32">
        <f>Raw_Adjusted_Prices!AJ49/Raw_Adjusted_Prices!AJ48-1</f>
        <v/>
      </c>
      <c r="AK45" s="32">
        <f>Raw_Adjusted_Prices!AK49/Raw_Adjusted_Prices!AK48-1</f>
        <v/>
      </c>
      <c r="AL45" s="32">
        <f>Raw_Adjusted_Prices!AL49/Raw_Adjusted_Prices!AL48-1</f>
        <v/>
      </c>
      <c r="AM45" s="32">
        <f>Raw_Adjusted_Prices!AM49/Raw_Adjusted_Prices!AM48-1</f>
        <v/>
      </c>
      <c r="AN45" s="32">
        <f>Raw_Adjusted_Prices!AN49/Raw_Adjusted_Prices!AN48-1</f>
        <v/>
      </c>
    </row>
    <row r="46">
      <c r="A46" s="31" t="inlineStr">
        <is>
          <t>2018-09-01</t>
        </is>
      </c>
      <c r="B46" s="32">
        <f>Raw_Adjusted_Prices!B50/Raw_Adjusted_Prices!B49-1</f>
        <v/>
      </c>
      <c r="C46" s="32">
        <f>Raw_Adjusted_Prices!C50/Raw_Adjusted_Prices!C49-1</f>
        <v/>
      </c>
      <c r="D46" s="32">
        <f>Raw_Adjusted_Prices!D50/Raw_Adjusted_Prices!D49-1</f>
        <v/>
      </c>
      <c r="E46" s="32">
        <f>Raw_Adjusted_Prices!E50/Raw_Adjusted_Prices!E49-1</f>
        <v/>
      </c>
      <c r="F46" s="32">
        <f>Raw_Adjusted_Prices!F50/Raw_Adjusted_Prices!F49-1</f>
        <v/>
      </c>
      <c r="G46" s="32">
        <f>Raw_Adjusted_Prices!G50/Raw_Adjusted_Prices!G49-1</f>
        <v/>
      </c>
      <c r="H46" s="32">
        <f>Raw_Adjusted_Prices!H50/Raw_Adjusted_Prices!H49-1</f>
        <v/>
      </c>
      <c r="I46" s="32">
        <f>Raw_Adjusted_Prices!I50/Raw_Adjusted_Prices!I49-1</f>
        <v/>
      </c>
      <c r="J46" s="32">
        <f>Raw_Adjusted_Prices!J50/Raw_Adjusted_Prices!J49-1</f>
        <v/>
      </c>
      <c r="K46" s="32">
        <f>Raw_Adjusted_Prices!K50/Raw_Adjusted_Prices!K49-1</f>
        <v/>
      </c>
      <c r="L46" s="32">
        <f>Raw_Adjusted_Prices!L50/Raw_Adjusted_Prices!L49-1</f>
        <v/>
      </c>
      <c r="M46" s="32">
        <f>Raw_Adjusted_Prices!M50/Raw_Adjusted_Prices!M49-1</f>
        <v/>
      </c>
      <c r="N46" s="32">
        <f>Raw_Adjusted_Prices!N50/Raw_Adjusted_Prices!N49-1</f>
        <v/>
      </c>
      <c r="O46" s="32">
        <f>Raw_Adjusted_Prices!O50/Raw_Adjusted_Prices!O49-1</f>
        <v/>
      </c>
      <c r="P46" s="32">
        <f>Raw_Adjusted_Prices!P50/Raw_Adjusted_Prices!P49-1</f>
        <v/>
      </c>
      <c r="Q46" s="32">
        <f>Raw_Adjusted_Prices!Q50/Raw_Adjusted_Prices!Q49-1</f>
        <v/>
      </c>
      <c r="R46" s="32">
        <f>Raw_Adjusted_Prices!R50/Raw_Adjusted_Prices!R49-1</f>
        <v/>
      </c>
      <c r="S46" s="32">
        <f>Raw_Adjusted_Prices!S50/Raw_Adjusted_Prices!S49-1</f>
        <v/>
      </c>
      <c r="T46" s="32">
        <f>Raw_Adjusted_Prices!T50/Raw_Adjusted_Prices!T49-1</f>
        <v/>
      </c>
      <c r="U46" s="32">
        <f>Raw_Adjusted_Prices!U50/Raw_Adjusted_Prices!U49-1</f>
        <v/>
      </c>
      <c r="V46" s="32">
        <f>Raw_Adjusted_Prices!V50/Raw_Adjusted_Prices!V49-1</f>
        <v/>
      </c>
      <c r="W46" s="32">
        <f>Raw_Adjusted_Prices!W50/Raw_Adjusted_Prices!W49-1</f>
        <v/>
      </c>
      <c r="X46" s="32">
        <f>Raw_Adjusted_Prices!X50/Raw_Adjusted_Prices!X49-1</f>
        <v/>
      </c>
      <c r="Y46" s="32">
        <f>Raw_Adjusted_Prices!Y50/Raw_Adjusted_Prices!Y49-1</f>
        <v/>
      </c>
      <c r="Z46" s="32">
        <f>Raw_Adjusted_Prices!Z50/Raw_Adjusted_Prices!Z49-1</f>
        <v/>
      </c>
      <c r="AA46" s="32">
        <f>Raw_Adjusted_Prices!AA50/Raw_Adjusted_Prices!AA49-1</f>
        <v/>
      </c>
      <c r="AB46" s="32">
        <f>Raw_Adjusted_Prices!AB50/Raw_Adjusted_Prices!AB49-1</f>
        <v/>
      </c>
      <c r="AC46" s="32">
        <f>Raw_Adjusted_Prices!AC50/Raw_Adjusted_Prices!AC49-1</f>
        <v/>
      </c>
      <c r="AD46" s="32">
        <f>Raw_Adjusted_Prices!AD50/Raw_Adjusted_Prices!AD49-1</f>
        <v/>
      </c>
      <c r="AE46" s="32">
        <f>Raw_Adjusted_Prices!AE50/Raw_Adjusted_Prices!AE49-1</f>
        <v/>
      </c>
      <c r="AF46" s="32">
        <f>Raw_Adjusted_Prices!AF50/Raw_Adjusted_Prices!AF49-1</f>
        <v/>
      </c>
      <c r="AG46" s="32">
        <f>Raw_Adjusted_Prices!AG50/Raw_Adjusted_Prices!AG49-1</f>
        <v/>
      </c>
      <c r="AH46" s="32">
        <f>Raw_Adjusted_Prices!AH50/Raw_Adjusted_Prices!AH49-1</f>
        <v/>
      </c>
      <c r="AI46" s="32">
        <f>Raw_Adjusted_Prices!AI50/Raw_Adjusted_Prices!AI49-1</f>
        <v/>
      </c>
      <c r="AJ46" s="32">
        <f>Raw_Adjusted_Prices!AJ50/Raw_Adjusted_Prices!AJ49-1</f>
        <v/>
      </c>
      <c r="AK46" s="32">
        <f>Raw_Adjusted_Prices!AK50/Raw_Adjusted_Prices!AK49-1</f>
        <v/>
      </c>
      <c r="AL46" s="32">
        <f>Raw_Adjusted_Prices!AL50/Raw_Adjusted_Prices!AL49-1</f>
        <v/>
      </c>
      <c r="AM46" s="32">
        <f>Raw_Adjusted_Prices!AM50/Raw_Adjusted_Prices!AM49-1</f>
        <v/>
      </c>
      <c r="AN46" s="32">
        <f>Raw_Adjusted_Prices!AN50/Raw_Adjusted_Prices!AN49-1</f>
        <v/>
      </c>
    </row>
    <row r="47">
      <c r="A47" s="31" t="inlineStr">
        <is>
          <t>2018-10-01</t>
        </is>
      </c>
      <c r="B47" s="32">
        <f>Raw_Adjusted_Prices!B51/Raw_Adjusted_Prices!B50-1</f>
        <v/>
      </c>
      <c r="C47" s="32">
        <f>Raw_Adjusted_Prices!C51/Raw_Adjusted_Prices!C50-1</f>
        <v/>
      </c>
      <c r="D47" s="32">
        <f>Raw_Adjusted_Prices!D51/Raw_Adjusted_Prices!D50-1</f>
        <v/>
      </c>
      <c r="E47" s="32">
        <f>Raw_Adjusted_Prices!E51/Raw_Adjusted_Prices!E50-1</f>
        <v/>
      </c>
      <c r="F47" s="32">
        <f>Raw_Adjusted_Prices!F51/Raw_Adjusted_Prices!F50-1</f>
        <v/>
      </c>
      <c r="G47" s="32">
        <f>Raw_Adjusted_Prices!G51/Raw_Adjusted_Prices!G50-1</f>
        <v/>
      </c>
      <c r="H47" s="32">
        <f>Raw_Adjusted_Prices!H51/Raw_Adjusted_Prices!H50-1</f>
        <v/>
      </c>
      <c r="I47" s="32">
        <f>Raw_Adjusted_Prices!I51/Raw_Adjusted_Prices!I50-1</f>
        <v/>
      </c>
      <c r="J47" s="32">
        <f>Raw_Adjusted_Prices!J51/Raw_Adjusted_Prices!J50-1</f>
        <v/>
      </c>
      <c r="K47" s="32">
        <f>Raw_Adjusted_Prices!K51/Raw_Adjusted_Prices!K50-1</f>
        <v/>
      </c>
      <c r="L47" s="32">
        <f>Raw_Adjusted_Prices!L51/Raw_Adjusted_Prices!L50-1</f>
        <v/>
      </c>
      <c r="M47" s="32">
        <f>Raw_Adjusted_Prices!M51/Raw_Adjusted_Prices!M50-1</f>
        <v/>
      </c>
      <c r="N47" s="32">
        <f>Raw_Adjusted_Prices!N51/Raw_Adjusted_Prices!N50-1</f>
        <v/>
      </c>
      <c r="O47" s="32">
        <f>Raw_Adjusted_Prices!O51/Raw_Adjusted_Prices!O50-1</f>
        <v/>
      </c>
      <c r="P47" s="32">
        <f>Raw_Adjusted_Prices!P51/Raw_Adjusted_Prices!P50-1</f>
        <v/>
      </c>
      <c r="Q47" s="32">
        <f>Raw_Adjusted_Prices!Q51/Raw_Adjusted_Prices!Q50-1</f>
        <v/>
      </c>
      <c r="R47" s="32">
        <f>Raw_Adjusted_Prices!R51/Raw_Adjusted_Prices!R50-1</f>
        <v/>
      </c>
      <c r="S47" s="32">
        <f>Raw_Adjusted_Prices!S51/Raw_Adjusted_Prices!S50-1</f>
        <v/>
      </c>
      <c r="T47" s="32">
        <f>Raw_Adjusted_Prices!T51/Raw_Adjusted_Prices!T50-1</f>
        <v/>
      </c>
      <c r="U47" s="32">
        <f>Raw_Adjusted_Prices!U51/Raw_Adjusted_Prices!U50-1</f>
        <v/>
      </c>
      <c r="V47" s="32">
        <f>Raw_Adjusted_Prices!V51/Raw_Adjusted_Prices!V50-1</f>
        <v/>
      </c>
      <c r="W47" s="32">
        <f>Raw_Adjusted_Prices!W51/Raw_Adjusted_Prices!W50-1</f>
        <v/>
      </c>
      <c r="X47" s="32">
        <f>Raw_Adjusted_Prices!X51/Raw_Adjusted_Prices!X50-1</f>
        <v/>
      </c>
      <c r="Y47" s="32">
        <f>Raw_Adjusted_Prices!Y51/Raw_Adjusted_Prices!Y50-1</f>
        <v/>
      </c>
      <c r="Z47" s="32">
        <f>Raw_Adjusted_Prices!Z51/Raw_Adjusted_Prices!Z50-1</f>
        <v/>
      </c>
      <c r="AA47" s="32">
        <f>Raw_Adjusted_Prices!AA51/Raw_Adjusted_Prices!AA50-1</f>
        <v/>
      </c>
      <c r="AB47" s="32">
        <f>Raw_Adjusted_Prices!AB51/Raw_Adjusted_Prices!AB50-1</f>
        <v/>
      </c>
      <c r="AC47" s="32">
        <f>Raw_Adjusted_Prices!AC51/Raw_Adjusted_Prices!AC50-1</f>
        <v/>
      </c>
      <c r="AD47" s="32">
        <f>Raw_Adjusted_Prices!AD51/Raw_Adjusted_Prices!AD50-1</f>
        <v/>
      </c>
      <c r="AE47" s="32">
        <f>Raw_Adjusted_Prices!AE51/Raw_Adjusted_Prices!AE50-1</f>
        <v/>
      </c>
      <c r="AF47" s="32">
        <f>Raw_Adjusted_Prices!AF51/Raw_Adjusted_Prices!AF50-1</f>
        <v/>
      </c>
      <c r="AG47" s="32">
        <f>Raw_Adjusted_Prices!AG51/Raw_Adjusted_Prices!AG50-1</f>
        <v/>
      </c>
      <c r="AH47" s="32">
        <f>Raw_Adjusted_Prices!AH51/Raw_Adjusted_Prices!AH50-1</f>
        <v/>
      </c>
      <c r="AI47" s="32">
        <f>Raw_Adjusted_Prices!AI51/Raw_Adjusted_Prices!AI50-1</f>
        <v/>
      </c>
      <c r="AJ47" s="32">
        <f>Raw_Adjusted_Prices!AJ51/Raw_Adjusted_Prices!AJ50-1</f>
        <v/>
      </c>
      <c r="AK47" s="32">
        <f>Raw_Adjusted_Prices!AK51/Raw_Adjusted_Prices!AK50-1</f>
        <v/>
      </c>
      <c r="AL47" s="32">
        <f>Raw_Adjusted_Prices!AL51/Raw_Adjusted_Prices!AL50-1</f>
        <v/>
      </c>
      <c r="AM47" s="32">
        <f>Raw_Adjusted_Prices!AM51/Raw_Adjusted_Prices!AM50-1</f>
        <v/>
      </c>
      <c r="AN47" s="32">
        <f>Raw_Adjusted_Prices!AN51/Raw_Adjusted_Prices!AN50-1</f>
        <v/>
      </c>
    </row>
    <row r="48">
      <c r="A48" s="31" t="inlineStr">
        <is>
          <t>2018-11-01</t>
        </is>
      </c>
      <c r="B48" s="32">
        <f>Raw_Adjusted_Prices!B52/Raw_Adjusted_Prices!B51-1</f>
        <v/>
      </c>
      <c r="C48" s="32">
        <f>Raw_Adjusted_Prices!C52/Raw_Adjusted_Prices!C51-1</f>
        <v/>
      </c>
      <c r="D48" s="32">
        <f>Raw_Adjusted_Prices!D52/Raw_Adjusted_Prices!D51-1</f>
        <v/>
      </c>
      <c r="E48" s="32">
        <f>Raw_Adjusted_Prices!E52/Raw_Adjusted_Prices!E51-1</f>
        <v/>
      </c>
      <c r="F48" s="32">
        <f>Raw_Adjusted_Prices!F52/Raw_Adjusted_Prices!F51-1</f>
        <v/>
      </c>
      <c r="G48" s="32">
        <f>Raw_Adjusted_Prices!G52/Raw_Adjusted_Prices!G51-1</f>
        <v/>
      </c>
      <c r="H48" s="32">
        <f>Raw_Adjusted_Prices!H52/Raw_Adjusted_Prices!H51-1</f>
        <v/>
      </c>
      <c r="I48" s="32">
        <f>Raw_Adjusted_Prices!I52/Raw_Adjusted_Prices!I51-1</f>
        <v/>
      </c>
      <c r="J48" s="32">
        <f>Raw_Adjusted_Prices!J52/Raw_Adjusted_Prices!J51-1</f>
        <v/>
      </c>
      <c r="K48" s="32">
        <f>Raw_Adjusted_Prices!K52/Raw_Adjusted_Prices!K51-1</f>
        <v/>
      </c>
      <c r="L48" s="32">
        <f>Raw_Adjusted_Prices!L52/Raw_Adjusted_Prices!L51-1</f>
        <v/>
      </c>
      <c r="M48" s="32">
        <f>Raw_Adjusted_Prices!M52/Raw_Adjusted_Prices!M51-1</f>
        <v/>
      </c>
      <c r="N48" s="32">
        <f>Raw_Adjusted_Prices!N52/Raw_Adjusted_Prices!N51-1</f>
        <v/>
      </c>
      <c r="O48" s="32">
        <f>Raw_Adjusted_Prices!O52/Raw_Adjusted_Prices!O51-1</f>
        <v/>
      </c>
      <c r="P48" s="32">
        <f>Raw_Adjusted_Prices!P52/Raw_Adjusted_Prices!P51-1</f>
        <v/>
      </c>
      <c r="Q48" s="32">
        <f>Raw_Adjusted_Prices!Q52/Raw_Adjusted_Prices!Q51-1</f>
        <v/>
      </c>
      <c r="R48" s="32">
        <f>Raw_Adjusted_Prices!R52/Raw_Adjusted_Prices!R51-1</f>
        <v/>
      </c>
      <c r="S48" s="32">
        <f>Raw_Adjusted_Prices!S52/Raw_Adjusted_Prices!S51-1</f>
        <v/>
      </c>
      <c r="T48" s="32">
        <f>Raw_Adjusted_Prices!T52/Raw_Adjusted_Prices!T51-1</f>
        <v/>
      </c>
      <c r="U48" s="32">
        <f>Raw_Adjusted_Prices!U52/Raw_Adjusted_Prices!U51-1</f>
        <v/>
      </c>
      <c r="V48" s="32">
        <f>Raw_Adjusted_Prices!V52/Raw_Adjusted_Prices!V51-1</f>
        <v/>
      </c>
      <c r="W48" s="32">
        <f>Raw_Adjusted_Prices!W52/Raw_Adjusted_Prices!W51-1</f>
        <v/>
      </c>
      <c r="X48" s="32">
        <f>Raw_Adjusted_Prices!X52/Raw_Adjusted_Prices!X51-1</f>
        <v/>
      </c>
      <c r="Y48" s="32">
        <f>Raw_Adjusted_Prices!Y52/Raw_Adjusted_Prices!Y51-1</f>
        <v/>
      </c>
      <c r="Z48" s="32">
        <f>Raw_Adjusted_Prices!Z52/Raw_Adjusted_Prices!Z51-1</f>
        <v/>
      </c>
      <c r="AA48" s="32">
        <f>Raw_Adjusted_Prices!AA52/Raw_Adjusted_Prices!AA51-1</f>
        <v/>
      </c>
      <c r="AB48" s="32">
        <f>Raw_Adjusted_Prices!AB52/Raw_Adjusted_Prices!AB51-1</f>
        <v/>
      </c>
      <c r="AC48" s="32">
        <f>Raw_Adjusted_Prices!AC52/Raw_Adjusted_Prices!AC51-1</f>
        <v/>
      </c>
      <c r="AD48" s="32">
        <f>Raw_Adjusted_Prices!AD52/Raw_Adjusted_Prices!AD51-1</f>
        <v/>
      </c>
      <c r="AE48" s="32">
        <f>Raw_Adjusted_Prices!AE52/Raw_Adjusted_Prices!AE51-1</f>
        <v/>
      </c>
      <c r="AF48" s="32">
        <f>Raw_Adjusted_Prices!AF52/Raw_Adjusted_Prices!AF51-1</f>
        <v/>
      </c>
      <c r="AG48" s="32">
        <f>Raw_Adjusted_Prices!AG52/Raw_Adjusted_Prices!AG51-1</f>
        <v/>
      </c>
      <c r="AH48" s="32">
        <f>Raw_Adjusted_Prices!AH52/Raw_Adjusted_Prices!AH51-1</f>
        <v/>
      </c>
      <c r="AI48" s="32">
        <f>Raw_Adjusted_Prices!AI52/Raw_Adjusted_Prices!AI51-1</f>
        <v/>
      </c>
      <c r="AJ48" s="32">
        <f>Raw_Adjusted_Prices!AJ52/Raw_Adjusted_Prices!AJ51-1</f>
        <v/>
      </c>
      <c r="AK48" s="32">
        <f>Raw_Adjusted_Prices!AK52/Raw_Adjusted_Prices!AK51-1</f>
        <v/>
      </c>
      <c r="AL48" s="32">
        <f>Raw_Adjusted_Prices!AL52/Raw_Adjusted_Prices!AL51-1</f>
        <v/>
      </c>
      <c r="AM48" s="32">
        <f>Raw_Adjusted_Prices!AM52/Raw_Adjusted_Prices!AM51-1</f>
        <v/>
      </c>
      <c r="AN48" s="32">
        <f>Raw_Adjusted_Prices!AN52/Raw_Adjusted_Prices!AN51-1</f>
        <v/>
      </c>
    </row>
    <row r="49">
      <c r="A49" s="31" t="inlineStr">
        <is>
          <t>2018-12-01</t>
        </is>
      </c>
      <c r="B49" s="32">
        <f>Raw_Adjusted_Prices!B53/Raw_Adjusted_Prices!B52-1</f>
        <v/>
      </c>
      <c r="C49" s="32">
        <f>Raw_Adjusted_Prices!C53/Raw_Adjusted_Prices!C52-1</f>
        <v/>
      </c>
      <c r="D49" s="32">
        <f>Raw_Adjusted_Prices!D53/Raw_Adjusted_Prices!D52-1</f>
        <v/>
      </c>
      <c r="E49" s="32">
        <f>Raw_Adjusted_Prices!E53/Raw_Adjusted_Prices!E52-1</f>
        <v/>
      </c>
      <c r="F49" s="32">
        <f>Raw_Adjusted_Prices!F53/Raw_Adjusted_Prices!F52-1</f>
        <v/>
      </c>
      <c r="G49" s="32">
        <f>Raw_Adjusted_Prices!G53/Raw_Adjusted_Prices!G52-1</f>
        <v/>
      </c>
      <c r="H49" s="32">
        <f>Raw_Adjusted_Prices!H53/Raw_Adjusted_Prices!H52-1</f>
        <v/>
      </c>
      <c r="I49" s="32">
        <f>Raw_Adjusted_Prices!I53/Raw_Adjusted_Prices!I52-1</f>
        <v/>
      </c>
      <c r="J49" s="32">
        <f>Raw_Adjusted_Prices!J53/Raw_Adjusted_Prices!J52-1</f>
        <v/>
      </c>
      <c r="K49" s="32">
        <f>Raw_Adjusted_Prices!K53/Raw_Adjusted_Prices!K52-1</f>
        <v/>
      </c>
      <c r="L49" s="32">
        <f>Raw_Adjusted_Prices!L53/Raw_Adjusted_Prices!L52-1</f>
        <v/>
      </c>
      <c r="M49" s="32">
        <f>Raw_Adjusted_Prices!M53/Raw_Adjusted_Prices!M52-1</f>
        <v/>
      </c>
      <c r="N49" s="32">
        <f>Raw_Adjusted_Prices!N53/Raw_Adjusted_Prices!N52-1</f>
        <v/>
      </c>
      <c r="O49" s="32">
        <f>Raw_Adjusted_Prices!O53/Raw_Adjusted_Prices!O52-1</f>
        <v/>
      </c>
      <c r="P49" s="32">
        <f>Raw_Adjusted_Prices!P53/Raw_Adjusted_Prices!P52-1</f>
        <v/>
      </c>
      <c r="Q49" s="32">
        <f>Raw_Adjusted_Prices!Q53/Raw_Adjusted_Prices!Q52-1</f>
        <v/>
      </c>
      <c r="R49" s="32">
        <f>Raw_Adjusted_Prices!R53/Raw_Adjusted_Prices!R52-1</f>
        <v/>
      </c>
      <c r="S49" s="32">
        <f>Raw_Adjusted_Prices!S53/Raw_Adjusted_Prices!S52-1</f>
        <v/>
      </c>
      <c r="T49" s="32">
        <f>Raw_Adjusted_Prices!T53/Raw_Adjusted_Prices!T52-1</f>
        <v/>
      </c>
      <c r="U49" s="32">
        <f>Raw_Adjusted_Prices!U53/Raw_Adjusted_Prices!U52-1</f>
        <v/>
      </c>
      <c r="V49" s="32">
        <f>Raw_Adjusted_Prices!V53/Raw_Adjusted_Prices!V52-1</f>
        <v/>
      </c>
      <c r="W49" s="32">
        <f>Raw_Adjusted_Prices!W53/Raw_Adjusted_Prices!W52-1</f>
        <v/>
      </c>
      <c r="X49" s="32">
        <f>Raw_Adjusted_Prices!X53/Raw_Adjusted_Prices!X52-1</f>
        <v/>
      </c>
      <c r="Y49" s="32">
        <f>Raw_Adjusted_Prices!Y53/Raw_Adjusted_Prices!Y52-1</f>
        <v/>
      </c>
      <c r="Z49" s="32">
        <f>Raw_Adjusted_Prices!Z53/Raw_Adjusted_Prices!Z52-1</f>
        <v/>
      </c>
      <c r="AA49" s="32">
        <f>Raw_Adjusted_Prices!AA53/Raw_Adjusted_Prices!AA52-1</f>
        <v/>
      </c>
      <c r="AB49" s="32">
        <f>Raw_Adjusted_Prices!AB53/Raw_Adjusted_Prices!AB52-1</f>
        <v/>
      </c>
      <c r="AC49" s="32">
        <f>Raw_Adjusted_Prices!AC53/Raw_Adjusted_Prices!AC52-1</f>
        <v/>
      </c>
      <c r="AD49" s="32">
        <f>Raw_Adjusted_Prices!AD53/Raw_Adjusted_Prices!AD52-1</f>
        <v/>
      </c>
      <c r="AE49" s="32">
        <f>Raw_Adjusted_Prices!AE53/Raw_Adjusted_Prices!AE52-1</f>
        <v/>
      </c>
      <c r="AF49" s="32">
        <f>Raw_Adjusted_Prices!AF53/Raw_Adjusted_Prices!AF52-1</f>
        <v/>
      </c>
      <c r="AG49" s="32">
        <f>Raw_Adjusted_Prices!AG53/Raw_Adjusted_Prices!AG52-1</f>
        <v/>
      </c>
      <c r="AH49" s="32">
        <f>Raw_Adjusted_Prices!AH53/Raw_Adjusted_Prices!AH52-1</f>
        <v/>
      </c>
      <c r="AI49" s="32">
        <f>Raw_Adjusted_Prices!AI53/Raw_Adjusted_Prices!AI52-1</f>
        <v/>
      </c>
      <c r="AJ49" s="32">
        <f>Raw_Adjusted_Prices!AJ53/Raw_Adjusted_Prices!AJ52-1</f>
        <v/>
      </c>
      <c r="AK49" s="32">
        <f>Raw_Adjusted_Prices!AK53/Raw_Adjusted_Prices!AK52-1</f>
        <v/>
      </c>
      <c r="AL49" s="32">
        <f>Raw_Adjusted_Prices!AL53/Raw_Adjusted_Prices!AL52-1</f>
        <v/>
      </c>
      <c r="AM49" s="32">
        <f>Raw_Adjusted_Prices!AM53/Raw_Adjusted_Prices!AM52-1</f>
        <v/>
      </c>
      <c r="AN49" s="32">
        <f>Raw_Adjusted_Prices!AN53/Raw_Adjusted_Prices!AN52-1</f>
        <v/>
      </c>
    </row>
    <row r="50">
      <c r="A50" s="31" t="inlineStr">
        <is>
          <t>2019-01-01</t>
        </is>
      </c>
      <c r="B50" s="32">
        <f>Raw_Adjusted_Prices!B54/Raw_Adjusted_Prices!B53-1</f>
        <v/>
      </c>
      <c r="C50" s="32">
        <f>Raw_Adjusted_Prices!C54/Raw_Adjusted_Prices!C53-1</f>
        <v/>
      </c>
      <c r="D50" s="32">
        <f>Raw_Adjusted_Prices!D54/Raw_Adjusted_Prices!D53-1</f>
        <v/>
      </c>
      <c r="E50" s="32">
        <f>Raw_Adjusted_Prices!E54/Raw_Adjusted_Prices!E53-1</f>
        <v/>
      </c>
      <c r="F50" s="32">
        <f>Raw_Adjusted_Prices!F54/Raw_Adjusted_Prices!F53-1</f>
        <v/>
      </c>
      <c r="G50" s="32">
        <f>Raw_Adjusted_Prices!G54/Raw_Adjusted_Prices!G53-1</f>
        <v/>
      </c>
      <c r="H50" s="32">
        <f>Raw_Adjusted_Prices!H54/Raw_Adjusted_Prices!H53-1</f>
        <v/>
      </c>
      <c r="I50" s="32">
        <f>Raw_Adjusted_Prices!I54/Raw_Adjusted_Prices!I53-1</f>
        <v/>
      </c>
      <c r="J50" s="32">
        <f>Raw_Adjusted_Prices!J54/Raw_Adjusted_Prices!J53-1</f>
        <v/>
      </c>
      <c r="K50" s="32">
        <f>Raw_Adjusted_Prices!K54/Raw_Adjusted_Prices!K53-1</f>
        <v/>
      </c>
      <c r="L50" s="32">
        <f>Raw_Adjusted_Prices!L54/Raw_Adjusted_Prices!L53-1</f>
        <v/>
      </c>
      <c r="M50" s="32">
        <f>Raw_Adjusted_Prices!M54/Raw_Adjusted_Prices!M53-1</f>
        <v/>
      </c>
      <c r="N50" s="32">
        <f>Raw_Adjusted_Prices!N54/Raw_Adjusted_Prices!N53-1</f>
        <v/>
      </c>
      <c r="O50" s="32">
        <f>Raw_Adjusted_Prices!O54/Raw_Adjusted_Prices!O53-1</f>
        <v/>
      </c>
      <c r="P50" s="32">
        <f>Raw_Adjusted_Prices!P54/Raw_Adjusted_Prices!P53-1</f>
        <v/>
      </c>
      <c r="Q50" s="32">
        <f>Raw_Adjusted_Prices!Q54/Raw_Adjusted_Prices!Q53-1</f>
        <v/>
      </c>
      <c r="R50" s="32">
        <f>Raw_Adjusted_Prices!R54/Raw_Adjusted_Prices!R53-1</f>
        <v/>
      </c>
      <c r="S50" s="32">
        <f>Raw_Adjusted_Prices!S54/Raw_Adjusted_Prices!S53-1</f>
        <v/>
      </c>
      <c r="T50" s="32">
        <f>Raw_Adjusted_Prices!T54/Raw_Adjusted_Prices!T53-1</f>
        <v/>
      </c>
      <c r="U50" s="32">
        <f>Raw_Adjusted_Prices!U54/Raw_Adjusted_Prices!U53-1</f>
        <v/>
      </c>
      <c r="V50" s="32">
        <f>Raw_Adjusted_Prices!V54/Raw_Adjusted_Prices!V53-1</f>
        <v/>
      </c>
      <c r="W50" s="32">
        <f>Raw_Adjusted_Prices!W54/Raw_Adjusted_Prices!W53-1</f>
        <v/>
      </c>
      <c r="X50" s="32">
        <f>Raw_Adjusted_Prices!X54/Raw_Adjusted_Prices!X53-1</f>
        <v/>
      </c>
      <c r="Y50" s="32">
        <f>Raw_Adjusted_Prices!Y54/Raw_Adjusted_Prices!Y53-1</f>
        <v/>
      </c>
      <c r="Z50" s="32">
        <f>Raw_Adjusted_Prices!Z54/Raw_Adjusted_Prices!Z53-1</f>
        <v/>
      </c>
      <c r="AA50" s="32">
        <f>Raw_Adjusted_Prices!AA54/Raw_Adjusted_Prices!AA53-1</f>
        <v/>
      </c>
      <c r="AB50" s="32">
        <f>Raw_Adjusted_Prices!AB54/Raw_Adjusted_Prices!AB53-1</f>
        <v/>
      </c>
      <c r="AC50" s="32">
        <f>Raw_Adjusted_Prices!AC54/Raw_Adjusted_Prices!AC53-1</f>
        <v/>
      </c>
      <c r="AD50" s="32">
        <f>Raw_Adjusted_Prices!AD54/Raw_Adjusted_Prices!AD53-1</f>
        <v/>
      </c>
      <c r="AE50" s="32">
        <f>Raw_Adjusted_Prices!AE54/Raw_Adjusted_Prices!AE53-1</f>
        <v/>
      </c>
      <c r="AF50" s="32">
        <f>Raw_Adjusted_Prices!AF54/Raw_Adjusted_Prices!AF53-1</f>
        <v/>
      </c>
      <c r="AG50" s="32">
        <f>Raw_Adjusted_Prices!AG54/Raw_Adjusted_Prices!AG53-1</f>
        <v/>
      </c>
      <c r="AH50" s="32">
        <f>Raw_Adjusted_Prices!AH54/Raw_Adjusted_Prices!AH53-1</f>
        <v/>
      </c>
      <c r="AI50" s="32">
        <f>Raw_Adjusted_Prices!AI54/Raw_Adjusted_Prices!AI53-1</f>
        <v/>
      </c>
      <c r="AJ50" s="32">
        <f>Raw_Adjusted_Prices!AJ54/Raw_Adjusted_Prices!AJ53-1</f>
        <v/>
      </c>
      <c r="AK50" s="32">
        <f>Raw_Adjusted_Prices!AK54/Raw_Adjusted_Prices!AK53-1</f>
        <v/>
      </c>
      <c r="AL50" s="32">
        <f>Raw_Adjusted_Prices!AL54/Raw_Adjusted_Prices!AL53-1</f>
        <v/>
      </c>
      <c r="AM50" s="32">
        <f>Raw_Adjusted_Prices!AM54/Raw_Adjusted_Prices!AM53-1</f>
        <v/>
      </c>
      <c r="AN50" s="32">
        <f>Raw_Adjusted_Prices!AN54/Raw_Adjusted_Prices!AN53-1</f>
        <v/>
      </c>
    </row>
    <row r="51">
      <c r="A51" s="31" t="inlineStr">
        <is>
          <t>2019-02-01</t>
        </is>
      </c>
      <c r="B51" s="32">
        <f>Raw_Adjusted_Prices!B55/Raw_Adjusted_Prices!B54-1</f>
        <v/>
      </c>
      <c r="C51" s="32">
        <f>Raw_Adjusted_Prices!C55/Raw_Adjusted_Prices!C54-1</f>
        <v/>
      </c>
      <c r="D51" s="32">
        <f>Raw_Adjusted_Prices!D55/Raw_Adjusted_Prices!D54-1</f>
        <v/>
      </c>
      <c r="E51" s="32">
        <f>Raw_Adjusted_Prices!E55/Raw_Adjusted_Prices!E54-1</f>
        <v/>
      </c>
      <c r="F51" s="32">
        <f>Raw_Adjusted_Prices!F55/Raw_Adjusted_Prices!F54-1</f>
        <v/>
      </c>
      <c r="G51" s="32">
        <f>Raw_Adjusted_Prices!G55/Raw_Adjusted_Prices!G54-1</f>
        <v/>
      </c>
      <c r="H51" s="32">
        <f>Raw_Adjusted_Prices!H55/Raw_Adjusted_Prices!H54-1</f>
        <v/>
      </c>
      <c r="I51" s="32">
        <f>Raw_Adjusted_Prices!I55/Raw_Adjusted_Prices!I54-1</f>
        <v/>
      </c>
      <c r="J51" s="32">
        <f>Raw_Adjusted_Prices!J55/Raw_Adjusted_Prices!J54-1</f>
        <v/>
      </c>
      <c r="K51" s="32">
        <f>Raw_Adjusted_Prices!K55/Raw_Adjusted_Prices!K54-1</f>
        <v/>
      </c>
      <c r="L51" s="32">
        <f>Raw_Adjusted_Prices!L55/Raw_Adjusted_Prices!L54-1</f>
        <v/>
      </c>
      <c r="M51" s="32">
        <f>Raw_Adjusted_Prices!M55/Raw_Adjusted_Prices!M54-1</f>
        <v/>
      </c>
      <c r="N51" s="32">
        <f>Raw_Adjusted_Prices!N55/Raw_Adjusted_Prices!N54-1</f>
        <v/>
      </c>
      <c r="O51" s="32">
        <f>Raw_Adjusted_Prices!O55/Raw_Adjusted_Prices!O54-1</f>
        <v/>
      </c>
      <c r="P51" s="32">
        <f>Raw_Adjusted_Prices!P55/Raw_Adjusted_Prices!P54-1</f>
        <v/>
      </c>
      <c r="Q51" s="32">
        <f>Raw_Adjusted_Prices!Q55/Raw_Adjusted_Prices!Q54-1</f>
        <v/>
      </c>
      <c r="R51" s="32">
        <f>Raw_Adjusted_Prices!R55/Raw_Adjusted_Prices!R54-1</f>
        <v/>
      </c>
      <c r="S51" s="32">
        <f>Raw_Adjusted_Prices!S55/Raw_Adjusted_Prices!S54-1</f>
        <v/>
      </c>
      <c r="T51" s="32">
        <f>Raw_Adjusted_Prices!T55/Raw_Adjusted_Prices!T54-1</f>
        <v/>
      </c>
      <c r="U51" s="32">
        <f>Raw_Adjusted_Prices!U55/Raw_Adjusted_Prices!U54-1</f>
        <v/>
      </c>
      <c r="V51" s="32">
        <f>Raw_Adjusted_Prices!V55/Raw_Adjusted_Prices!V54-1</f>
        <v/>
      </c>
      <c r="W51" s="32">
        <f>Raw_Adjusted_Prices!W55/Raw_Adjusted_Prices!W54-1</f>
        <v/>
      </c>
      <c r="X51" s="32">
        <f>Raw_Adjusted_Prices!X55/Raw_Adjusted_Prices!X54-1</f>
        <v/>
      </c>
      <c r="Y51" s="32">
        <f>Raw_Adjusted_Prices!Y55/Raw_Adjusted_Prices!Y54-1</f>
        <v/>
      </c>
      <c r="Z51" s="32">
        <f>Raw_Adjusted_Prices!Z55/Raw_Adjusted_Prices!Z54-1</f>
        <v/>
      </c>
      <c r="AA51" s="32">
        <f>Raw_Adjusted_Prices!AA55/Raw_Adjusted_Prices!AA54-1</f>
        <v/>
      </c>
      <c r="AB51" s="32">
        <f>Raw_Adjusted_Prices!AB55/Raw_Adjusted_Prices!AB54-1</f>
        <v/>
      </c>
      <c r="AC51" s="32">
        <f>Raw_Adjusted_Prices!AC55/Raw_Adjusted_Prices!AC54-1</f>
        <v/>
      </c>
      <c r="AD51" s="32">
        <f>Raw_Adjusted_Prices!AD55/Raw_Adjusted_Prices!AD54-1</f>
        <v/>
      </c>
      <c r="AE51" s="32">
        <f>Raw_Adjusted_Prices!AE55/Raw_Adjusted_Prices!AE54-1</f>
        <v/>
      </c>
      <c r="AF51" s="32">
        <f>Raw_Adjusted_Prices!AF55/Raw_Adjusted_Prices!AF54-1</f>
        <v/>
      </c>
      <c r="AG51" s="32">
        <f>Raw_Adjusted_Prices!AG55/Raw_Adjusted_Prices!AG54-1</f>
        <v/>
      </c>
      <c r="AH51" s="32">
        <f>Raw_Adjusted_Prices!AH55/Raw_Adjusted_Prices!AH54-1</f>
        <v/>
      </c>
      <c r="AI51" s="32">
        <f>Raw_Adjusted_Prices!AI55/Raw_Adjusted_Prices!AI54-1</f>
        <v/>
      </c>
      <c r="AJ51" s="32">
        <f>Raw_Adjusted_Prices!AJ55/Raw_Adjusted_Prices!AJ54-1</f>
        <v/>
      </c>
      <c r="AK51" s="32">
        <f>Raw_Adjusted_Prices!AK55/Raw_Adjusted_Prices!AK54-1</f>
        <v/>
      </c>
      <c r="AL51" s="32">
        <f>Raw_Adjusted_Prices!AL55/Raw_Adjusted_Prices!AL54-1</f>
        <v/>
      </c>
      <c r="AM51" s="32">
        <f>Raw_Adjusted_Prices!AM55/Raw_Adjusted_Prices!AM54-1</f>
        <v/>
      </c>
      <c r="AN51" s="32">
        <f>Raw_Adjusted_Prices!AN55/Raw_Adjusted_Prices!AN54-1</f>
        <v/>
      </c>
    </row>
    <row r="52">
      <c r="A52" s="31" t="inlineStr">
        <is>
          <t>2019-03-01</t>
        </is>
      </c>
      <c r="B52" s="32">
        <f>Raw_Adjusted_Prices!B56/Raw_Adjusted_Prices!B55-1</f>
        <v/>
      </c>
      <c r="C52" s="32">
        <f>Raw_Adjusted_Prices!C56/Raw_Adjusted_Prices!C55-1</f>
        <v/>
      </c>
      <c r="D52" s="32">
        <f>Raw_Adjusted_Prices!D56/Raw_Adjusted_Prices!D55-1</f>
        <v/>
      </c>
      <c r="E52" s="32">
        <f>Raw_Adjusted_Prices!E56/Raw_Adjusted_Prices!E55-1</f>
        <v/>
      </c>
      <c r="F52" s="32">
        <f>Raw_Adjusted_Prices!F56/Raw_Adjusted_Prices!F55-1</f>
        <v/>
      </c>
      <c r="G52" s="32">
        <f>Raw_Adjusted_Prices!G56/Raw_Adjusted_Prices!G55-1</f>
        <v/>
      </c>
      <c r="H52" s="32">
        <f>Raw_Adjusted_Prices!H56/Raw_Adjusted_Prices!H55-1</f>
        <v/>
      </c>
      <c r="I52" s="32">
        <f>Raw_Adjusted_Prices!I56/Raw_Adjusted_Prices!I55-1</f>
        <v/>
      </c>
      <c r="J52" s="32">
        <f>Raw_Adjusted_Prices!J56/Raw_Adjusted_Prices!J55-1</f>
        <v/>
      </c>
      <c r="K52" s="32">
        <f>Raw_Adjusted_Prices!K56/Raw_Adjusted_Prices!K55-1</f>
        <v/>
      </c>
      <c r="L52" s="32">
        <f>Raw_Adjusted_Prices!L56/Raw_Adjusted_Prices!L55-1</f>
        <v/>
      </c>
      <c r="M52" s="32">
        <f>Raw_Adjusted_Prices!M56/Raw_Adjusted_Prices!M55-1</f>
        <v/>
      </c>
      <c r="N52" s="32">
        <f>Raw_Adjusted_Prices!N56/Raw_Adjusted_Prices!N55-1</f>
        <v/>
      </c>
      <c r="O52" s="32">
        <f>Raw_Adjusted_Prices!O56/Raw_Adjusted_Prices!O55-1</f>
        <v/>
      </c>
      <c r="P52" s="32">
        <f>Raw_Adjusted_Prices!P56/Raw_Adjusted_Prices!P55-1</f>
        <v/>
      </c>
      <c r="Q52" s="32">
        <f>Raw_Adjusted_Prices!Q56/Raw_Adjusted_Prices!Q55-1</f>
        <v/>
      </c>
      <c r="R52" s="32">
        <f>Raw_Adjusted_Prices!R56/Raw_Adjusted_Prices!R55-1</f>
        <v/>
      </c>
      <c r="S52" s="32">
        <f>Raw_Adjusted_Prices!S56/Raw_Adjusted_Prices!S55-1</f>
        <v/>
      </c>
      <c r="T52" s="32">
        <f>Raw_Adjusted_Prices!T56/Raw_Adjusted_Prices!T55-1</f>
        <v/>
      </c>
      <c r="U52" s="32">
        <f>Raw_Adjusted_Prices!U56/Raw_Adjusted_Prices!U55-1</f>
        <v/>
      </c>
      <c r="V52" s="32">
        <f>Raw_Adjusted_Prices!V56/Raw_Adjusted_Prices!V55-1</f>
        <v/>
      </c>
      <c r="W52" s="32">
        <f>Raw_Adjusted_Prices!W56/Raw_Adjusted_Prices!W55-1</f>
        <v/>
      </c>
      <c r="X52" s="32">
        <f>Raw_Adjusted_Prices!X56/Raw_Adjusted_Prices!X55-1</f>
        <v/>
      </c>
      <c r="Y52" s="32">
        <f>Raw_Adjusted_Prices!Y56/Raw_Adjusted_Prices!Y55-1</f>
        <v/>
      </c>
      <c r="Z52" s="32">
        <f>Raw_Adjusted_Prices!Z56/Raw_Adjusted_Prices!Z55-1</f>
        <v/>
      </c>
      <c r="AA52" s="32">
        <f>Raw_Adjusted_Prices!AA56/Raw_Adjusted_Prices!AA55-1</f>
        <v/>
      </c>
      <c r="AB52" s="32">
        <f>Raw_Adjusted_Prices!AB56/Raw_Adjusted_Prices!AB55-1</f>
        <v/>
      </c>
      <c r="AC52" s="32">
        <f>Raw_Adjusted_Prices!AC56/Raw_Adjusted_Prices!AC55-1</f>
        <v/>
      </c>
      <c r="AD52" s="32">
        <f>Raw_Adjusted_Prices!AD56/Raw_Adjusted_Prices!AD55-1</f>
        <v/>
      </c>
      <c r="AE52" s="32">
        <f>Raw_Adjusted_Prices!AE56/Raw_Adjusted_Prices!AE55-1</f>
        <v/>
      </c>
      <c r="AF52" s="32">
        <f>Raw_Adjusted_Prices!AF56/Raw_Adjusted_Prices!AF55-1</f>
        <v/>
      </c>
      <c r="AG52" s="32">
        <f>Raw_Adjusted_Prices!AG56/Raw_Adjusted_Prices!AG55-1</f>
        <v/>
      </c>
      <c r="AH52" s="32">
        <f>Raw_Adjusted_Prices!AH56/Raw_Adjusted_Prices!AH55-1</f>
        <v/>
      </c>
      <c r="AI52" s="32">
        <f>Raw_Adjusted_Prices!AI56/Raw_Adjusted_Prices!AI55-1</f>
        <v/>
      </c>
      <c r="AJ52" s="32">
        <f>Raw_Adjusted_Prices!AJ56/Raw_Adjusted_Prices!AJ55-1</f>
        <v/>
      </c>
      <c r="AK52" s="32">
        <f>Raw_Adjusted_Prices!AK56/Raw_Adjusted_Prices!AK55-1</f>
        <v/>
      </c>
      <c r="AL52" s="32">
        <f>Raw_Adjusted_Prices!AL56/Raw_Adjusted_Prices!AL55-1</f>
        <v/>
      </c>
      <c r="AM52" s="32">
        <f>Raw_Adjusted_Prices!AM56/Raw_Adjusted_Prices!AM55-1</f>
        <v/>
      </c>
      <c r="AN52" s="32">
        <f>Raw_Adjusted_Prices!AN56/Raw_Adjusted_Prices!AN55-1</f>
        <v/>
      </c>
    </row>
    <row r="53">
      <c r="A53" s="31" t="inlineStr">
        <is>
          <t>2019-04-01</t>
        </is>
      </c>
      <c r="B53" s="32">
        <f>Raw_Adjusted_Prices!B57/Raw_Adjusted_Prices!B56-1</f>
        <v/>
      </c>
      <c r="C53" s="32">
        <f>Raw_Adjusted_Prices!C57/Raw_Adjusted_Prices!C56-1</f>
        <v/>
      </c>
      <c r="D53" s="32">
        <f>Raw_Adjusted_Prices!D57/Raw_Adjusted_Prices!D56-1</f>
        <v/>
      </c>
      <c r="E53" s="32">
        <f>Raw_Adjusted_Prices!E57/Raw_Adjusted_Prices!E56-1</f>
        <v/>
      </c>
      <c r="F53" s="32">
        <f>Raw_Adjusted_Prices!F57/Raw_Adjusted_Prices!F56-1</f>
        <v/>
      </c>
      <c r="G53" s="32">
        <f>Raw_Adjusted_Prices!G57/Raw_Adjusted_Prices!G56-1</f>
        <v/>
      </c>
      <c r="H53" s="32">
        <f>Raw_Adjusted_Prices!H57/Raw_Adjusted_Prices!H56-1</f>
        <v/>
      </c>
      <c r="I53" s="32">
        <f>Raw_Adjusted_Prices!I57/Raw_Adjusted_Prices!I56-1</f>
        <v/>
      </c>
      <c r="J53" s="32">
        <f>Raw_Adjusted_Prices!J57/Raw_Adjusted_Prices!J56-1</f>
        <v/>
      </c>
      <c r="K53" s="32">
        <f>Raw_Adjusted_Prices!K57/Raw_Adjusted_Prices!K56-1</f>
        <v/>
      </c>
      <c r="L53" s="32">
        <f>Raw_Adjusted_Prices!L57/Raw_Adjusted_Prices!L56-1</f>
        <v/>
      </c>
      <c r="M53" s="32">
        <f>Raw_Adjusted_Prices!M57/Raw_Adjusted_Prices!M56-1</f>
        <v/>
      </c>
      <c r="N53" s="32">
        <f>Raw_Adjusted_Prices!N57/Raw_Adjusted_Prices!N56-1</f>
        <v/>
      </c>
      <c r="O53" s="32">
        <f>Raw_Adjusted_Prices!O57/Raw_Adjusted_Prices!O56-1</f>
        <v/>
      </c>
      <c r="P53" s="32">
        <f>Raw_Adjusted_Prices!P57/Raw_Adjusted_Prices!P56-1</f>
        <v/>
      </c>
      <c r="Q53" s="32">
        <f>Raw_Adjusted_Prices!Q57/Raw_Adjusted_Prices!Q56-1</f>
        <v/>
      </c>
      <c r="R53" s="32">
        <f>Raw_Adjusted_Prices!R57/Raw_Adjusted_Prices!R56-1</f>
        <v/>
      </c>
      <c r="S53" s="32">
        <f>Raw_Adjusted_Prices!S57/Raw_Adjusted_Prices!S56-1</f>
        <v/>
      </c>
      <c r="T53" s="32">
        <f>Raw_Adjusted_Prices!T57/Raw_Adjusted_Prices!T56-1</f>
        <v/>
      </c>
      <c r="U53" s="32">
        <f>Raw_Adjusted_Prices!U57/Raw_Adjusted_Prices!U56-1</f>
        <v/>
      </c>
      <c r="V53" s="32">
        <f>Raw_Adjusted_Prices!V57/Raw_Adjusted_Prices!V56-1</f>
        <v/>
      </c>
      <c r="W53" s="32">
        <f>Raw_Adjusted_Prices!W57/Raw_Adjusted_Prices!W56-1</f>
        <v/>
      </c>
      <c r="X53" s="32">
        <f>Raw_Adjusted_Prices!X57/Raw_Adjusted_Prices!X56-1</f>
        <v/>
      </c>
      <c r="Y53" s="32">
        <f>Raw_Adjusted_Prices!Y57/Raw_Adjusted_Prices!Y56-1</f>
        <v/>
      </c>
      <c r="Z53" s="32">
        <f>Raw_Adjusted_Prices!Z57/Raw_Adjusted_Prices!Z56-1</f>
        <v/>
      </c>
      <c r="AA53" s="32">
        <f>Raw_Adjusted_Prices!AA57/Raw_Adjusted_Prices!AA56-1</f>
        <v/>
      </c>
      <c r="AB53" s="32">
        <f>Raw_Adjusted_Prices!AB57/Raw_Adjusted_Prices!AB56-1</f>
        <v/>
      </c>
      <c r="AC53" s="32">
        <f>Raw_Adjusted_Prices!AC57/Raw_Adjusted_Prices!AC56-1</f>
        <v/>
      </c>
      <c r="AD53" s="32">
        <f>Raw_Adjusted_Prices!AD57/Raw_Adjusted_Prices!AD56-1</f>
        <v/>
      </c>
      <c r="AE53" s="32">
        <f>Raw_Adjusted_Prices!AE57/Raw_Adjusted_Prices!AE56-1</f>
        <v/>
      </c>
      <c r="AF53" s="32">
        <f>Raw_Adjusted_Prices!AF57/Raw_Adjusted_Prices!AF56-1</f>
        <v/>
      </c>
      <c r="AG53" s="32">
        <f>Raw_Adjusted_Prices!AG57/Raw_Adjusted_Prices!AG56-1</f>
        <v/>
      </c>
      <c r="AH53" s="32">
        <f>Raw_Adjusted_Prices!AH57/Raw_Adjusted_Prices!AH56-1</f>
        <v/>
      </c>
      <c r="AI53" s="32">
        <f>Raw_Adjusted_Prices!AI57/Raw_Adjusted_Prices!AI56-1</f>
        <v/>
      </c>
      <c r="AJ53" s="32">
        <f>Raw_Adjusted_Prices!AJ57/Raw_Adjusted_Prices!AJ56-1</f>
        <v/>
      </c>
      <c r="AK53" s="32">
        <f>Raw_Adjusted_Prices!AK57/Raw_Adjusted_Prices!AK56-1</f>
        <v/>
      </c>
      <c r="AL53" s="32">
        <f>Raw_Adjusted_Prices!AL57/Raw_Adjusted_Prices!AL56-1</f>
        <v/>
      </c>
      <c r="AM53" s="32">
        <f>Raw_Adjusted_Prices!AM57/Raw_Adjusted_Prices!AM56-1</f>
        <v/>
      </c>
      <c r="AN53" s="32">
        <f>Raw_Adjusted_Prices!AN57/Raw_Adjusted_Prices!AN56-1</f>
        <v/>
      </c>
    </row>
    <row r="54">
      <c r="A54" s="31" t="inlineStr">
        <is>
          <t>2019-05-01</t>
        </is>
      </c>
      <c r="B54" s="32">
        <f>Raw_Adjusted_Prices!B58/Raw_Adjusted_Prices!B57-1</f>
        <v/>
      </c>
      <c r="C54" s="32">
        <f>Raw_Adjusted_Prices!C58/Raw_Adjusted_Prices!C57-1</f>
        <v/>
      </c>
      <c r="D54" s="32">
        <f>Raw_Adjusted_Prices!D58/Raw_Adjusted_Prices!D57-1</f>
        <v/>
      </c>
      <c r="E54" s="32">
        <f>Raw_Adjusted_Prices!E58/Raw_Adjusted_Prices!E57-1</f>
        <v/>
      </c>
      <c r="F54" s="32">
        <f>Raw_Adjusted_Prices!F58/Raw_Adjusted_Prices!F57-1</f>
        <v/>
      </c>
      <c r="G54" s="32">
        <f>Raw_Adjusted_Prices!G58/Raw_Adjusted_Prices!G57-1</f>
        <v/>
      </c>
      <c r="H54" s="32">
        <f>Raw_Adjusted_Prices!H58/Raw_Adjusted_Prices!H57-1</f>
        <v/>
      </c>
      <c r="I54" s="32">
        <f>Raw_Adjusted_Prices!I58/Raw_Adjusted_Prices!I57-1</f>
        <v/>
      </c>
      <c r="J54" s="32">
        <f>Raw_Adjusted_Prices!J58/Raw_Adjusted_Prices!J57-1</f>
        <v/>
      </c>
      <c r="K54" s="32">
        <f>Raw_Adjusted_Prices!K58/Raw_Adjusted_Prices!K57-1</f>
        <v/>
      </c>
      <c r="L54" s="32">
        <f>Raw_Adjusted_Prices!L58/Raw_Adjusted_Prices!L57-1</f>
        <v/>
      </c>
      <c r="M54" s="32">
        <f>Raw_Adjusted_Prices!M58/Raw_Adjusted_Prices!M57-1</f>
        <v/>
      </c>
      <c r="N54" s="32">
        <f>Raw_Adjusted_Prices!N58/Raw_Adjusted_Prices!N57-1</f>
        <v/>
      </c>
      <c r="O54" s="32">
        <f>Raw_Adjusted_Prices!O58/Raw_Adjusted_Prices!O57-1</f>
        <v/>
      </c>
      <c r="P54" s="32">
        <f>Raw_Adjusted_Prices!P58/Raw_Adjusted_Prices!P57-1</f>
        <v/>
      </c>
      <c r="Q54" s="32">
        <f>Raw_Adjusted_Prices!Q58/Raw_Adjusted_Prices!Q57-1</f>
        <v/>
      </c>
      <c r="R54" s="32">
        <f>Raw_Adjusted_Prices!R58/Raw_Adjusted_Prices!R57-1</f>
        <v/>
      </c>
      <c r="S54" s="32">
        <f>Raw_Adjusted_Prices!S58/Raw_Adjusted_Prices!S57-1</f>
        <v/>
      </c>
      <c r="T54" s="32">
        <f>Raw_Adjusted_Prices!T58/Raw_Adjusted_Prices!T57-1</f>
        <v/>
      </c>
      <c r="U54" s="32">
        <f>Raw_Adjusted_Prices!U58/Raw_Adjusted_Prices!U57-1</f>
        <v/>
      </c>
      <c r="V54" s="32">
        <f>Raw_Adjusted_Prices!V58/Raw_Adjusted_Prices!V57-1</f>
        <v/>
      </c>
      <c r="W54" s="32">
        <f>Raw_Adjusted_Prices!W58/Raw_Adjusted_Prices!W57-1</f>
        <v/>
      </c>
      <c r="X54" s="32">
        <f>Raw_Adjusted_Prices!X58/Raw_Adjusted_Prices!X57-1</f>
        <v/>
      </c>
      <c r="Y54" s="32">
        <f>Raw_Adjusted_Prices!Y58/Raw_Adjusted_Prices!Y57-1</f>
        <v/>
      </c>
      <c r="Z54" s="32">
        <f>Raw_Adjusted_Prices!Z58/Raw_Adjusted_Prices!Z57-1</f>
        <v/>
      </c>
      <c r="AA54" s="32">
        <f>Raw_Adjusted_Prices!AA58/Raw_Adjusted_Prices!AA57-1</f>
        <v/>
      </c>
      <c r="AB54" s="32">
        <f>Raw_Adjusted_Prices!AB58/Raw_Adjusted_Prices!AB57-1</f>
        <v/>
      </c>
      <c r="AC54" s="32">
        <f>Raw_Adjusted_Prices!AC58/Raw_Adjusted_Prices!AC57-1</f>
        <v/>
      </c>
      <c r="AD54" s="32">
        <f>Raw_Adjusted_Prices!AD58/Raw_Adjusted_Prices!AD57-1</f>
        <v/>
      </c>
      <c r="AE54" s="32">
        <f>Raw_Adjusted_Prices!AE58/Raw_Adjusted_Prices!AE57-1</f>
        <v/>
      </c>
      <c r="AF54" s="32">
        <f>Raw_Adjusted_Prices!AF58/Raw_Adjusted_Prices!AF57-1</f>
        <v/>
      </c>
      <c r="AG54" s="32">
        <f>Raw_Adjusted_Prices!AG58/Raw_Adjusted_Prices!AG57-1</f>
        <v/>
      </c>
      <c r="AH54" s="32">
        <f>Raw_Adjusted_Prices!AH58/Raw_Adjusted_Prices!AH57-1</f>
        <v/>
      </c>
      <c r="AI54" s="32">
        <f>Raw_Adjusted_Prices!AI58/Raw_Adjusted_Prices!AI57-1</f>
        <v/>
      </c>
      <c r="AJ54" s="32">
        <f>Raw_Adjusted_Prices!AJ58/Raw_Adjusted_Prices!AJ57-1</f>
        <v/>
      </c>
      <c r="AK54" s="32">
        <f>Raw_Adjusted_Prices!AK58/Raw_Adjusted_Prices!AK57-1</f>
        <v/>
      </c>
      <c r="AL54" s="32">
        <f>Raw_Adjusted_Prices!AL58/Raw_Adjusted_Prices!AL57-1</f>
        <v/>
      </c>
      <c r="AM54" s="32">
        <f>Raw_Adjusted_Prices!AM58/Raw_Adjusted_Prices!AM57-1</f>
        <v/>
      </c>
      <c r="AN54" s="32">
        <f>Raw_Adjusted_Prices!AN58/Raw_Adjusted_Prices!AN57-1</f>
        <v/>
      </c>
    </row>
    <row r="55">
      <c r="A55" s="31" t="inlineStr">
        <is>
          <t>2019-06-01</t>
        </is>
      </c>
      <c r="B55" s="32">
        <f>Raw_Adjusted_Prices!B59/Raw_Adjusted_Prices!B58-1</f>
        <v/>
      </c>
      <c r="C55" s="32">
        <f>Raw_Adjusted_Prices!C59/Raw_Adjusted_Prices!C58-1</f>
        <v/>
      </c>
      <c r="D55" s="32">
        <f>Raw_Adjusted_Prices!D59/Raw_Adjusted_Prices!D58-1</f>
        <v/>
      </c>
      <c r="E55" s="32">
        <f>Raw_Adjusted_Prices!E59/Raw_Adjusted_Prices!E58-1</f>
        <v/>
      </c>
      <c r="F55" s="32">
        <f>Raw_Adjusted_Prices!F59/Raw_Adjusted_Prices!F58-1</f>
        <v/>
      </c>
      <c r="G55" s="32">
        <f>Raw_Adjusted_Prices!G59/Raw_Adjusted_Prices!G58-1</f>
        <v/>
      </c>
      <c r="H55" s="32">
        <f>Raw_Adjusted_Prices!H59/Raw_Adjusted_Prices!H58-1</f>
        <v/>
      </c>
      <c r="I55" s="32">
        <f>Raw_Adjusted_Prices!I59/Raw_Adjusted_Prices!I58-1</f>
        <v/>
      </c>
      <c r="J55" s="32">
        <f>Raw_Adjusted_Prices!J59/Raw_Adjusted_Prices!J58-1</f>
        <v/>
      </c>
      <c r="K55" s="32">
        <f>Raw_Adjusted_Prices!K59/Raw_Adjusted_Prices!K58-1</f>
        <v/>
      </c>
      <c r="L55" s="32">
        <f>Raw_Adjusted_Prices!L59/Raw_Adjusted_Prices!L58-1</f>
        <v/>
      </c>
      <c r="M55" s="32">
        <f>Raw_Adjusted_Prices!M59/Raw_Adjusted_Prices!M58-1</f>
        <v/>
      </c>
      <c r="N55" s="32">
        <f>Raw_Adjusted_Prices!N59/Raw_Adjusted_Prices!N58-1</f>
        <v/>
      </c>
      <c r="O55" s="32">
        <f>Raw_Adjusted_Prices!O59/Raw_Adjusted_Prices!O58-1</f>
        <v/>
      </c>
      <c r="P55" s="32">
        <f>Raw_Adjusted_Prices!P59/Raw_Adjusted_Prices!P58-1</f>
        <v/>
      </c>
      <c r="Q55" s="32">
        <f>Raw_Adjusted_Prices!Q59/Raw_Adjusted_Prices!Q58-1</f>
        <v/>
      </c>
      <c r="R55" s="32">
        <f>Raw_Adjusted_Prices!R59/Raw_Adjusted_Prices!R58-1</f>
        <v/>
      </c>
      <c r="S55" s="32">
        <f>Raw_Adjusted_Prices!S59/Raw_Adjusted_Prices!S58-1</f>
        <v/>
      </c>
      <c r="T55" s="32">
        <f>Raw_Adjusted_Prices!T59/Raw_Adjusted_Prices!T58-1</f>
        <v/>
      </c>
      <c r="U55" s="32">
        <f>Raw_Adjusted_Prices!U59/Raw_Adjusted_Prices!U58-1</f>
        <v/>
      </c>
      <c r="V55" s="32">
        <f>Raw_Adjusted_Prices!V59/Raw_Adjusted_Prices!V58-1</f>
        <v/>
      </c>
      <c r="W55" s="32">
        <f>Raw_Adjusted_Prices!W59/Raw_Adjusted_Prices!W58-1</f>
        <v/>
      </c>
      <c r="X55" s="32">
        <f>Raw_Adjusted_Prices!X59/Raw_Adjusted_Prices!X58-1</f>
        <v/>
      </c>
      <c r="Y55" s="32">
        <f>Raw_Adjusted_Prices!Y59/Raw_Adjusted_Prices!Y58-1</f>
        <v/>
      </c>
      <c r="Z55" s="32">
        <f>Raw_Adjusted_Prices!Z59/Raw_Adjusted_Prices!Z58-1</f>
        <v/>
      </c>
      <c r="AA55" s="32">
        <f>Raw_Adjusted_Prices!AA59/Raw_Adjusted_Prices!AA58-1</f>
        <v/>
      </c>
      <c r="AB55" s="32">
        <f>Raw_Adjusted_Prices!AB59/Raw_Adjusted_Prices!AB58-1</f>
        <v/>
      </c>
      <c r="AC55" s="32">
        <f>Raw_Adjusted_Prices!AC59/Raw_Adjusted_Prices!AC58-1</f>
        <v/>
      </c>
      <c r="AD55" s="32">
        <f>Raw_Adjusted_Prices!AD59/Raw_Adjusted_Prices!AD58-1</f>
        <v/>
      </c>
      <c r="AE55" s="32">
        <f>Raw_Adjusted_Prices!AE59/Raw_Adjusted_Prices!AE58-1</f>
        <v/>
      </c>
      <c r="AF55" s="32">
        <f>Raw_Adjusted_Prices!AF59/Raw_Adjusted_Prices!AF58-1</f>
        <v/>
      </c>
      <c r="AG55" s="32">
        <f>Raw_Adjusted_Prices!AG59/Raw_Adjusted_Prices!AG58-1</f>
        <v/>
      </c>
      <c r="AH55" s="32">
        <f>Raw_Adjusted_Prices!AH59/Raw_Adjusted_Prices!AH58-1</f>
        <v/>
      </c>
      <c r="AI55" s="32">
        <f>Raw_Adjusted_Prices!AI59/Raw_Adjusted_Prices!AI58-1</f>
        <v/>
      </c>
      <c r="AJ55" s="32">
        <f>Raw_Adjusted_Prices!AJ59/Raw_Adjusted_Prices!AJ58-1</f>
        <v/>
      </c>
      <c r="AK55" s="32">
        <f>Raw_Adjusted_Prices!AK59/Raw_Adjusted_Prices!AK58-1</f>
        <v/>
      </c>
      <c r="AL55" s="32">
        <f>Raw_Adjusted_Prices!AL59/Raw_Adjusted_Prices!AL58-1</f>
        <v/>
      </c>
      <c r="AM55" s="32">
        <f>Raw_Adjusted_Prices!AM59/Raw_Adjusted_Prices!AM58-1</f>
        <v/>
      </c>
      <c r="AN55" s="32">
        <f>Raw_Adjusted_Prices!AN59/Raw_Adjusted_Prices!AN58-1</f>
        <v/>
      </c>
    </row>
    <row r="56">
      <c r="A56" s="31" t="inlineStr">
        <is>
          <t>2019-07-01</t>
        </is>
      </c>
      <c r="B56" s="32">
        <f>Raw_Adjusted_Prices!B60/Raw_Adjusted_Prices!B59-1</f>
        <v/>
      </c>
      <c r="C56" s="32">
        <f>Raw_Adjusted_Prices!C60/Raw_Adjusted_Prices!C59-1</f>
        <v/>
      </c>
      <c r="D56" s="32">
        <f>Raw_Adjusted_Prices!D60/Raw_Adjusted_Prices!D59-1</f>
        <v/>
      </c>
      <c r="E56" s="32">
        <f>Raw_Adjusted_Prices!E60/Raw_Adjusted_Prices!E59-1</f>
        <v/>
      </c>
      <c r="F56" s="32">
        <f>Raw_Adjusted_Prices!F60/Raw_Adjusted_Prices!F59-1</f>
        <v/>
      </c>
      <c r="G56" s="32">
        <f>Raw_Adjusted_Prices!G60/Raw_Adjusted_Prices!G59-1</f>
        <v/>
      </c>
      <c r="H56" s="32">
        <f>Raw_Adjusted_Prices!H60/Raw_Adjusted_Prices!H59-1</f>
        <v/>
      </c>
      <c r="I56" s="32">
        <f>Raw_Adjusted_Prices!I60/Raw_Adjusted_Prices!I59-1</f>
        <v/>
      </c>
      <c r="J56" s="32">
        <f>Raw_Adjusted_Prices!J60/Raw_Adjusted_Prices!J59-1</f>
        <v/>
      </c>
      <c r="K56" s="32">
        <f>Raw_Adjusted_Prices!K60/Raw_Adjusted_Prices!K59-1</f>
        <v/>
      </c>
      <c r="L56" s="32">
        <f>Raw_Adjusted_Prices!L60/Raw_Adjusted_Prices!L59-1</f>
        <v/>
      </c>
      <c r="M56" s="32">
        <f>Raw_Adjusted_Prices!M60/Raw_Adjusted_Prices!M59-1</f>
        <v/>
      </c>
      <c r="N56" s="32">
        <f>Raw_Adjusted_Prices!N60/Raw_Adjusted_Prices!N59-1</f>
        <v/>
      </c>
      <c r="O56" s="32">
        <f>Raw_Adjusted_Prices!O60/Raw_Adjusted_Prices!O59-1</f>
        <v/>
      </c>
      <c r="P56" s="32">
        <f>Raw_Adjusted_Prices!P60/Raw_Adjusted_Prices!P59-1</f>
        <v/>
      </c>
      <c r="Q56" s="32">
        <f>Raw_Adjusted_Prices!Q60/Raw_Adjusted_Prices!Q59-1</f>
        <v/>
      </c>
      <c r="R56" s="32">
        <f>Raw_Adjusted_Prices!R60/Raw_Adjusted_Prices!R59-1</f>
        <v/>
      </c>
      <c r="S56" s="32">
        <f>Raw_Adjusted_Prices!S60/Raw_Adjusted_Prices!S59-1</f>
        <v/>
      </c>
      <c r="T56" s="32">
        <f>Raw_Adjusted_Prices!T60/Raw_Adjusted_Prices!T59-1</f>
        <v/>
      </c>
      <c r="U56" s="32">
        <f>Raw_Adjusted_Prices!U60/Raw_Adjusted_Prices!U59-1</f>
        <v/>
      </c>
      <c r="V56" s="32">
        <f>Raw_Adjusted_Prices!V60/Raw_Adjusted_Prices!V59-1</f>
        <v/>
      </c>
      <c r="W56" s="32">
        <f>Raw_Adjusted_Prices!W60/Raw_Adjusted_Prices!W59-1</f>
        <v/>
      </c>
      <c r="X56" s="32">
        <f>Raw_Adjusted_Prices!X60/Raw_Adjusted_Prices!X59-1</f>
        <v/>
      </c>
      <c r="Y56" s="32">
        <f>Raw_Adjusted_Prices!Y60/Raw_Adjusted_Prices!Y59-1</f>
        <v/>
      </c>
      <c r="Z56" s="32">
        <f>Raw_Adjusted_Prices!Z60/Raw_Adjusted_Prices!Z59-1</f>
        <v/>
      </c>
      <c r="AA56" s="32">
        <f>Raw_Adjusted_Prices!AA60/Raw_Adjusted_Prices!AA59-1</f>
        <v/>
      </c>
      <c r="AB56" s="32">
        <f>Raw_Adjusted_Prices!AB60/Raw_Adjusted_Prices!AB59-1</f>
        <v/>
      </c>
      <c r="AC56" s="32">
        <f>Raw_Adjusted_Prices!AC60/Raw_Adjusted_Prices!AC59-1</f>
        <v/>
      </c>
      <c r="AD56" s="32">
        <f>Raw_Adjusted_Prices!AD60/Raw_Adjusted_Prices!AD59-1</f>
        <v/>
      </c>
      <c r="AE56" s="32">
        <f>Raw_Adjusted_Prices!AE60/Raw_Adjusted_Prices!AE59-1</f>
        <v/>
      </c>
      <c r="AF56" s="32">
        <f>Raw_Adjusted_Prices!AF60/Raw_Adjusted_Prices!AF59-1</f>
        <v/>
      </c>
      <c r="AG56" s="32">
        <f>Raw_Adjusted_Prices!AG60/Raw_Adjusted_Prices!AG59-1</f>
        <v/>
      </c>
      <c r="AH56" s="32">
        <f>Raw_Adjusted_Prices!AH60/Raw_Adjusted_Prices!AH59-1</f>
        <v/>
      </c>
      <c r="AI56" s="32">
        <f>Raw_Adjusted_Prices!AI60/Raw_Adjusted_Prices!AI59-1</f>
        <v/>
      </c>
      <c r="AJ56" s="32">
        <f>Raw_Adjusted_Prices!AJ60/Raw_Adjusted_Prices!AJ59-1</f>
        <v/>
      </c>
      <c r="AK56" s="32">
        <f>Raw_Adjusted_Prices!AK60/Raw_Adjusted_Prices!AK59-1</f>
        <v/>
      </c>
      <c r="AL56" s="32">
        <f>Raw_Adjusted_Prices!AL60/Raw_Adjusted_Prices!AL59-1</f>
        <v/>
      </c>
      <c r="AM56" s="32">
        <f>Raw_Adjusted_Prices!AM60/Raw_Adjusted_Prices!AM59-1</f>
        <v/>
      </c>
      <c r="AN56" s="32">
        <f>Raw_Adjusted_Prices!AN60/Raw_Adjusted_Prices!AN59-1</f>
        <v/>
      </c>
    </row>
    <row r="57">
      <c r="A57" s="31" t="inlineStr">
        <is>
          <t>2019-08-01</t>
        </is>
      </c>
      <c r="B57" s="32">
        <f>Raw_Adjusted_Prices!B61/Raw_Adjusted_Prices!B60-1</f>
        <v/>
      </c>
      <c r="C57" s="32">
        <f>Raw_Adjusted_Prices!C61/Raw_Adjusted_Prices!C60-1</f>
        <v/>
      </c>
      <c r="D57" s="32">
        <f>Raw_Adjusted_Prices!D61/Raw_Adjusted_Prices!D60-1</f>
        <v/>
      </c>
      <c r="E57" s="32">
        <f>Raw_Adjusted_Prices!E61/Raw_Adjusted_Prices!E60-1</f>
        <v/>
      </c>
      <c r="F57" s="32">
        <f>Raw_Adjusted_Prices!F61/Raw_Adjusted_Prices!F60-1</f>
        <v/>
      </c>
      <c r="G57" s="32">
        <f>Raw_Adjusted_Prices!G61/Raw_Adjusted_Prices!G60-1</f>
        <v/>
      </c>
      <c r="H57" s="32">
        <f>Raw_Adjusted_Prices!H61/Raw_Adjusted_Prices!H60-1</f>
        <v/>
      </c>
      <c r="I57" s="32">
        <f>Raw_Adjusted_Prices!I61/Raw_Adjusted_Prices!I60-1</f>
        <v/>
      </c>
      <c r="J57" s="32">
        <f>Raw_Adjusted_Prices!J61/Raw_Adjusted_Prices!J60-1</f>
        <v/>
      </c>
      <c r="K57" s="32">
        <f>Raw_Adjusted_Prices!K61/Raw_Adjusted_Prices!K60-1</f>
        <v/>
      </c>
      <c r="L57" s="32">
        <f>Raw_Adjusted_Prices!L61/Raw_Adjusted_Prices!L60-1</f>
        <v/>
      </c>
      <c r="M57" s="32">
        <f>Raw_Adjusted_Prices!M61/Raw_Adjusted_Prices!M60-1</f>
        <v/>
      </c>
      <c r="N57" s="32">
        <f>Raw_Adjusted_Prices!N61/Raw_Adjusted_Prices!N60-1</f>
        <v/>
      </c>
      <c r="O57" s="32">
        <f>Raw_Adjusted_Prices!O61/Raw_Adjusted_Prices!O60-1</f>
        <v/>
      </c>
      <c r="P57" s="32">
        <f>Raw_Adjusted_Prices!P61/Raw_Adjusted_Prices!P60-1</f>
        <v/>
      </c>
      <c r="Q57" s="32">
        <f>Raw_Adjusted_Prices!Q61/Raw_Adjusted_Prices!Q60-1</f>
        <v/>
      </c>
      <c r="R57" s="32">
        <f>Raw_Adjusted_Prices!R61/Raw_Adjusted_Prices!R60-1</f>
        <v/>
      </c>
      <c r="S57" s="32">
        <f>Raw_Adjusted_Prices!S61/Raw_Adjusted_Prices!S60-1</f>
        <v/>
      </c>
      <c r="T57" s="32">
        <f>Raw_Adjusted_Prices!T61/Raw_Adjusted_Prices!T60-1</f>
        <v/>
      </c>
      <c r="U57" s="32">
        <f>Raw_Adjusted_Prices!U61/Raw_Adjusted_Prices!U60-1</f>
        <v/>
      </c>
      <c r="V57" s="32">
        <f>Raw_Adjusted_Prices!V61/Raw_Adjusted_Prices!V60-1</f>
        <v/>
      </c>
      <c r="W57" s="32">
        <f>Raw_Adjusted_Prices!W61/Raw_Adjusted_Prices!W60-1</f>
        <v/>
      </c>
      <c r="X57" s="32">
        <f>Raw_Adjusted_Prices!X61/Raw_Adjusted_Prices!X60-1</f>
        <v/>
      </c>
      <c r="Y57" s="32">
        <f>Raw_Adjusted_Prices!Y61/Raw_Adjusted_Prices!Y60-1</f>
        <v/>
      </c>
      <c r="Z57" s="32">
        <f>Raw_Adjusted_Prices!Z61/Raw_Adjusted_Prices!Z60-1</f>
        <v/>
      </c>
      <c r="AA57" s="32">
        <f>Raw_Adjusted_Prices!AA61/Raw_Adjusted_Prices!AA60-1</f>
        <v/>
      </c>
      <c r="AB57" s="32">
        <f>Raw_Adjusted_Prices!AB61/Raw_Adjusted_Prices!AB60-1</f>
        <v/>
      </c>
      <c r="AC57" s="32">
        <f>Raw_Adjusted_Prices!AC61/Raw_Adjusted_Prices!AC60-1</f>
        <v/>
      </c>
      <c r="AD57" s="32">
        <f>Raw_Adjusted_Prices!AD61/Raw_Adjusted_Prices!AD60-1</f>
        <v/>
      </c>
      <c r="AE57" s="32">
        <f>Raw_Adjusted_Prices!AE61/Raw_Adjusted_Prices!AE60-1</f>
        <v/>
      </c>
      <c r="AF57" s="32">
        <f>Raw_Adjusted_Prices!AF61/Raw_Adjusted_Prices!AF60-1</f>
        <v/>
      </c>
      <c r="AG57" s="32">
        <f>Raw_Adjusted_Prices!AG61/Raw_Adjusted_Prices!AG60-1</f>
        <v/>
      </c>
      <c r="AH57" s="32">
        <f>Raw_Adjusted_Prices!AH61/Raw_Adjusted_Prices!AH60-1</f>
        <v/>
      </c>
      <c r="AI57" s="32">
        <f>Raw_Adjusted_Prices!AI61/Raw_Adjusted_Prices!AI60-1</f>
        <v/>
      </c>
      <c r="AJ57" s="32">
        <f>Raw_Adjusted_Prices!AJ61/Raw_Adjusted_Prices!AJ60-1</f>
        <v/>
      </c>
      <c r="AK57" s="32">
        <f>Raw_Adjusted_Prices!AK61/Raw_Adjusted_Prices!AK60-1</f>
        <v/>
      </c>
      <c r="AL57" s="32">
        <f>Raw_Adjusted_Prices!AL61/Raw_Adjusted_Prices!AL60-1</f>
        <v/>
      </c>
      <c r="AM57" s="32">
        <f>Raw_Adjusted_Prices!AM61/Raw_Adjusted_Prices!AM60-1</f>
        <v/>
      </c>
      <c r="AN57" s="32">
        <f>Raw_Adjusted_Prices!AN61/Raw_Adjusted_Prices!AN60-1</f>
        <v/>
      </c>
    </row>
    <row r="58">
      <c r="A58" s="31" t="inlineStr">
        <is>
          <t>2019-09-01</t>
        </is>
      </c>
      <c r="B58" s="32">
        <f>Raw_Adjusted_Prices!B62/Raw_Adjusted_Prices!B61-1</f>
        <v/>
      </c>
      <c r="C58" s="32">
        <f>Raw_Adjusted_Prices!C62/Raw_Adjusted_Prices!C61-1</f>
        <v/>
      </c>
      <c r="D58" s="32">
        <f>Raw_Adjusted_Prices!D62/Raw_Adjusted_Prices!D61-1</f>
        <v/>
      </c>
      <c r="E58" s="32">
        <f>Raw_Adjusted_Prices!E62/Raw_Adjusted_Prices!E61-1</f>
        <v/>
      </c>
      <c r="F58" s="32">
        <f>Raw_Adjusted_Prices!F62/Raw_Adjusted_Prices!F61-1</f>
        <v/>
      </c>
      <c r="G58" s="32">
        <f>Raw_Adjusted_Prices!G62/Raw_Adjusted_Prices!G61-1</f>
        <v/>
      </c>
      <c r="H58" s="32">
        <f>Raw_Adjusted_Prices!H62/Raw_Adjusted_Prices!H61-1</f>
        <v/>
      </c>
      <c r="I58" s="32">
        <f>Raw_Adjusted_Prices!I62/Raw_Adjusted_Prices!I61-1</f>
        <v/>
      </c>
      <c r="J58" s="32">
        <f>Raw_Adjusted_Prices!J62/Raw_Adjusted_Prices!J61-1</f>
        <v/>
      </c>
      <c r="K58" s="32">
        <f>Raw_Adjusted_Prices!K62/Raw_Adjusted_Prices!K61-1</f>
        <v/>
      </c>
      <c r="L58" s="32">
        <f>Raw_Adjusted_Prices!L62/Raw_Adjusted_Prices!L61-1</f>
        <v/>
      </c>
      <c r="M58" s="32">
        <f>Raw_Adjusted_Prices!M62/Raw_Adjusted_Prices!M61-1</f>
        <v/>
      </c>
      <c r="N58" s="32">
        <f>Raw_Adjusted_Prices!N62/Raw_Adjusted_Prices!N61-1</f>
        <v/>
      </c>
      <c r="O58" s="32">
        <f>Raw_Adjusted_Prices!O62/Raw_Adjusted_Prices!O61-1</f>
        <v/>
      </c>
      <c r="P58" s="32">
        <f>Raw_Adjusted_Prices!P62/Raw_Adjusted_Prices!P61-1</f>
        <v/>
      </c>
      <c r="Q58" s="32">
        <f>Raw_Adjusted_Prices!Q62/Raw_Adjusted_Prices!Q61-1</f>
        <v/>
      </c>
      <c r="R58" s="32">
        <f>Raw_Adjusted_Prices!R62/Raw_Adjusted_Prices!R61-1</f>
        <v/>
      </c>
      <c r="S58" s="32">
        <f>Raw_Adjusted_Prices!S62/Raw_Adjusted_Prices!S61-1</f>
        <v/>
      </c>
      <c r="T58" s="32">
        <f>Raw_Adjusted_Prices!T62/Raw_Adjusted_Prices!T61-1</f>
        <v/>
      </c>
      <c r="U58" s="32">
        <f>Raw_Adjusted_Prices!U62/Raw_Adjusted_Prices!U61-1</f>
        <v/>
      </c>
      <c r="V58" s="32">
        <f>Raw_Adjusted_Prices!V62/Raw_Adjusted_Prices!V61-1</f>
        <v/>
      </c>
      <c r="W58" s="32">
        <f>Raw_Adjusted_Prices!W62/Raw_Adjusted_Prices!W61-1</f>
        <v/>
      </c>
      <c r="X58" s="32">
        <f>Raw_Adjusted_Prices!X62/Raw_Adjusted_Prices!X61-1</f>
        <v/>
      </c>
      <c r="Y58" s="32">
        <f>Raw_Adjusted_Prices!Y62/Raw_Adjusted_Prices!Y61-1</f>
        <v/>
      </c>
      <c r="Z58" s="32">
        <f>Raw_Adjusted_Prices!Z62/Raw_Adjusted_Prices!Z61-1</f>
        <v/>
      </c>
      <c r="AA58" s="32">
        <f>Raw_Adjusted_Prices!AA62/Raw_Adjusted_Prices!AA61-1</f>
        <v/>
      </c>
      <c r="AB58" s="32">
        <f>Raw_Adjusted_Prices!AB62/Raw_Adjusted_Prices!AB61-1</f>
        <v/>
      </c>
      <c r="AC58" s="32">
        <f>Raw_Adjusted_Prices!AC62/Raw_Adjusted_Prices!AC61-1</f>
        <v/>
      </c>
      <c r="AD58" s="32">
        <f>Raw_Adjusted_Prices!AD62/Raw_Adjusted_Prices!AD61-1</f>
        <v/>
      </c>
      <c r="AE58" s="32">
        <f>Raw_Adjusted_Prices!AE62/Raw_Adjusted_Prices!AE61-1</f>
        <v/>
      </c>
      <c r="AF58" s="32">
        <f>Raw_Adjusted_Prices!AF62/Raw_Adjusted_Prices!AF61-1</f>
        <v/>
      </c>
      <c r="AG58" s="32">
        <f>Raw_Adjusted_Prices!AG62/Raw_Adjusted_Prices!AG61-1</f>
        <v/>
      </c>
      <c r="AH58" s="32">
        <f>Raw_Adjusted_Prices!AH62/Raw_Adjusted_Prices!AH61-1</f>
        <v/>
      </c>
      <c r="AI58" s="32">
        <f>Raw_Adjusted_Prices!AI62/Raw_Adjusted_Prices!AI61-1</f>
        <v/>
      </c>
      <c r="AJ58" s="32">
        <f>Raw_Adjusted_Prices!AJ62/Raw_Adjusted_Prices!AJ61-1</f>
        <v/>
      </c>
      <c r="AK58" s="32">
        <f>Raw_Adjusted_Prices!AK62/Raw_Adjusted_Prices!AK61-1</f>
        <v/>
      </c>
      <c r="AL58" s="32">
        <f>Raw_Adjusted_Prices!AL62/Raw_Adjusted_Prices!AL61-1</f>
        <v/>
      </c>
      <c r="AM58" s="32">
        <f>Raw_Adjusted_Prices!AM62/Raw_Adjusted_Prices!AM61-1</f>
        <v/>
      </c>
      <c r="AN58" s="32">
        <f>Raw_Adjusted_Prices!AN62/Raw_Adjusted_Prices!AN61-1</f>
        <v/>
      </c>
    </row>
    <row r="59">
      <c r="A59" s="31" t="inlineStr">
        <is>
          <t>2019-10-01</t>
        </is>
      </c>
      <c r="B59" s="32">
        <f>Raw_Adjusted_Prices!B63/Raw_Adjusted_Prices!B62-1</f>
        <v/>
      </c>
      <c r="C59" s="32">
        <f>Raw_Adjusted_Prices!C63/Raw_Adjusted_Prices!C62-1</f>
        <v/>
      </c>
      <c r="D59" s="32">
        <f>Raw_Adjusted_Prices!D63/Raw_Adjusted_Prices!D62-1</f>
        <v/>
      </c>
      <c r="E59" s="32">
        <f>Raw_Adjusted_Prices!E63/Raw_Adjusted_Prices!E62-1</f>
        <v/>
      </c>
      <c r="F59" s="32">
        <f>Raw_Adjusted_Prices!F63/Raw_Adjusted_Prices!F62-1</f>
        <v/>
      </c>
      <c r="G59" s="32">
        <f>Raw_Adjusted_Prices!G63/Raw_Adjusted_Prices!G62-1</f>
        <v/>
      </c>
      <c r="H59" s="32">
        <f>Raw_Adjusted_Prices!H63/Raw_Adjusted_Prices!H62-1</f>
        <v/>
      </c>
      <c r="I59" s="32">
        <f>Raw_Adjusted_Prices!I63/Raw_Adjusted_Prices!I62-1</f>
        <v/>
      </c>
      <c r="J59" s="32">
        <f>Raw_Adjusted_Prices!J63/Raw_Adjusted_Prices!J62-1</f>
        <v/>
      </c>
      <c r="K59" s="32">
        <f>Raw_Adjusted_Prices!K63/Raw_Adjusted_Prices!K62-1</f>
        <v/>
      </c>
      <c r="L59" s="32">
        <f>Raw_Adjusted_Prices!L63/Raw_Adjusted_Prices!L62-1</f>
        <v/>
      </c>
      <c r="M59" s="32">
        <f>Raw_Adjusted_Prices!M63/Raw_Adjusted_Prices!M62-1</f>
        <v/>
      </c>
      <c r="N59" s="32">
        <f>Raw_Adjusted_Prices!N63/Raw_Adjusted_Prices!N62-1</f>
        <v/>
      </c>
      <c r="O59" s="32">
        <f>Raw_Adjusted_Prices!O63/Raw_Adjusted_Prices!O62-1</f>
        <v/>
      </c>
      <c r="P59" s="32">
        <f>Raw_Adjusted_Prices!P63/Raw_Adjusted_Prices!P62-1</f>
        <v/>
      </c>
      <c r="Q59" s="32">
        <f>Raw_Adjusted_Prices!Q63/Raw_Adjusted_Prices!Q62-1</f>
        <v/>
      </c>
      <c r="R59" s="32">
        <f>Raw_Adjusted_Prices!R63/Raw_Adjusted_Prices!R62-1</f>
        <v/>
      </c>
      <c r="S59" s="32">
        <f>Raw_Adjusted_Prices!S63/Raw_Adjusted_Prices!S62-1</f>
        <v/>
      </c>
      <c r="T59" s="32">
        <f>Raw_Adjusted_Prices!T63/Raw_Adjusted_Prices!T62-1</f>
        <v/>
      </c>
      <c r="U59" s="32">
        <f>Raw_Adjusted_Prices!U63/Raw_Adjusted_Prices!U62-1</f>
        <v/>
      </c>
      <c r="V59" s="32">
        <f>Raw_Adjusted_Prices!V63/Raw_Adjusted_Prices!V62-1</f>
        <v/>
      </c>
      <c r="W59" s="32">
        <f>Raw_Adjusted_Prices!W63/Raw_Adjusted_Prices!W62-1</f>
        <v/>
      </c>
      <c r="X59" s="32">
        <f>Raw_Adjusted_Prices!X63/Raw_Adjusted_Prices!X62-1</f>
        <v/>
      </c>
      <c r="Y59" s="32">
        <f>Raw_Adjusted_Prices!Y63/Raw_Adjusted_Prices!Y62-1</f>
        <v/>
      </c>
      <c r="Z59" s="32">
        <f>Raw_Adjusted_Prices!Z63/Raw_Adjusted_Prices!Z62-1</f>
        <v/>
      </c>
      <c r="AA59" s="32">
        <f>Raw_Adjusted_Prices!AA63/Raw_Adjusted_Prices!AA62-1</f>
        <v/>
      </c>
      <c r="AB59" s="32">
        <f>Raw_Adjusted_Prices!AB63/Raw_Adjusted_Prices!AB62-1</f>
        <v/>
      </c>
      <c r="AC59" s="32">
        <f>Raw_Adjusted_Prices!AC63/Raw_Adjusted_Prices!AC62-1</f>
        <v/>
      </c>
      <c r="AD59" s="32">
        <f>Raw_Adjusted_Prices!AD63/Raw_Adjusted_Prices!AD62-1</f>
        <v/>
      </c>
      <c r="AE59" s="32">
        <f>Raw_Adjusted_Prices!AE63/Raw_Adjusted_Prices!AE62-1</f>
        <v/>
      </c>
      <c r="AF59" s="32">
        <f>Raw_Adjusted_Prices!AF63/Raw_Adjusted_Prices!AF62-1</f>
        <v/>
      </c>
      <c r="AG59" s="32">
        <f>Raw_Adjusted_Prices!AG63/Raw_Adjusted_Prices!AG62-1</f>
        <v/>
      </c>
      <c r="AH59" s="32">
        <f>Raw_Adjusted_Prices!AH63/Raw_Adjusted_Prices!AH62-1</f>
        <v/>
      </c>
      <c r="AI59" s="32">
        <f>Raw_Adjusted_Prices!AI63/Raw_Adjusted_Prices!AI62-1</f>
        <v/>
      </c>
      <c r="AJ59" s="32">
        <f>Raw_Adjusted_Prices!AJ63/Raw_Adjusted_Prices!AJ62-1</f>
        <v/>
      </c>
      <c r="AK59" s="32">
        <f>Raw_Adjusted_Prices!AK63/Raw_Adjusted_Prices!AK62-1</f>
        <v/>
      </c>
      <c r="AL59" s="32">
        <f>Raw_Adjusted_Prices!AL63/Raw_Adjusted_Prices!AL62-1</f>
        <v/>
      </c>
      <c r="AM59" s="32">
        <f>Raw_Adjusted_Prices!AM63/Raw_Adjusted_Prices!AM62-1</f>
        <v/>
      </c>
      <c r="AN59" s="32">
        <f>Raw_Adjusted_Prices!AN63/Raw_Adjusted_Prices!AN62-1</f>
        <v/>
      </c>
    </row>
    <row r="60">
      <c r="A60" s="31" t="inlineStr">
        <is>
          <t>2019-11-01</t>
        </is>
      </c>
      <c r="B60" s="32">
        <f>Raw_Adjusted_Prices!B64/Raw_Adjusted_Prices!B63-1</f>
        <v/>
      </c>
      <c r="C60" s="32">
        <f>Raw_Adjusted_Prices!C64/Raw_Adjusted_Prices!C63-1</f>
        <v/>
      </c>
      <c r="D60" s="32">
        <f>Raw_Adjusted_Prices!D64/Raw_Adjusted_Prices!D63-1</f>
        <v/>
      </c>
      <c r="E60" s="32">
        <f>Raw_Adjusted_Prices!E64/Raw_Adjusted_Prices!E63-1</f>
        <v/>
      </c>
      <c r="F60" s="32">
        <f>Raw_Adjusted_Prices!F64/Raw_Adjusted_Prices!F63-1</f>
        <v/>
      </c>
      <c r="G60" s="32">
        <f>Raw_Adjusted_Prices!G64/Raw_Adjusted_Prices!G63-1</f>
        <v/>
      </c>
      <c r="H60" s="32">
        <f>Raw_Adjusted_Prices!H64/Raw_Adjusted_Prices!H63-1</f>
        <v/>
      </c>
      <c r="I60" s="32">
        <f>Raw_Adjusted_Prices!I64/Raw_Adjusted_Prices!I63-1</f>
        <v/>
      </c>
      <c r="J60" s="32">
        <f>Raw_Adjusted_Prices!J64/Raw_Adjusted_Prices!J63-1</f>
        <v/>
      </c>
      <c r="K60" s="32">
        <f>Raw_Adjusted_Prices!K64/Raw_Adjusted_Prices!K63-1</f>
        <v/>
      </c>
      <c r="L60" s="32">
        <f>Raw_Adjusted_Prices!L64/Raw_Adjusted_Prices!L63-1</f>
        <v/>
      </c>
      <c r="M60" s="32">
        <f>Raw_Adjusted_Prices!M64/Raw_Adjusted_Prices!M63-1</f>
        <v/>
      </c>
      <c r="N60" s="32">
        <f>Raw_Adjusted_Prices!N64/Raw_Adjusted_Prices!N63-1</f>
        <v/>
      </c>
      <c r="O60" s="32">
        <f>Raw_Adjusted_Prices!O64/Raw_Adjusted_Prices!O63-1</f>
        <v/>
      </c>
      <c r="P60" s="32">
        <f>Raw_Adjusted_Prices!P64/Raw_Adjusted_Prices!P63-1</f>
        <v/>
      </c>
      <c r="Q60" s="32">
        <f>Raw_Adjusted_Prices!Q64/Raw_Adjusted_Prices!Q63-1</f>
        <v/>
      </c>
      <c r="R60" s="32">
        <f>Raw_Adjusted_Prices!R64/Raw_Adjusted_Prices!R63-1</f>
        <v/>
      </c>
      <c r="S60" s="32">
        <f>Raw_Adjusted_Prices!S64/Raw_Adjusted_Prices!S63-1</f>
        <v/>
      </c>
      <c r="T60" s="32">
        <f>Raw_Adjusted_Prices!T64/Raw_Adjusted_Prices!T63-1</f>
        <v/>
      </c>
      <c r="U60" s="32">
        <f>Raw_Adjusted_Prices!U64/Raw_Adjusted_Prices!U63-1</f>
        <v/>
      </c>
      <c r="V60" s="32">
        <f>Raw_Adjusted_Prices!V64/Raw_Adjusted_Prices!V63-1</f>
        <v/>
      </c>
      <c r="W60" s="32">
        <f>Raw_Adjusted_Prices!W64/Raw_Adjusted_Prices!W63-1</f>
        <v/>
      </c>
      <c r="X60" s="32">
        <f>Raw_Adjusted_Prices!X64/Raw_Adjusted_Prices!X63-1</f>
        <v/>
      </c>
      <c r="Y60" s="32">
        <f>Raw_Adjusted_Prices!Y64/Raw_Adjusted_Prices!Y63-1</f>
        <v/>
      </c>
      <c r="Z60" s="32">
        <f>Raw_Adjusted_Prices!Z64/Raw_Adjusted_Prices!Z63-1</f>
        <v/>
      </c>
      <c r="AA60" s="32">
        <f>Raw_Adjusted_Prices!AA64/Raw_Adjusted_Prices!AA63-1</f>
        <v/>
      </c>
      <c r="AB60" s="32">
        <f>Raw_Adjusted_Prices!AB64/Raw_Adjusted_Prices!AB63-1</f>
        <v/>
      </c>
      <c r="AC60" s="32">
        <f>Raw_Adjusted_Prices!AC64/Raw_Adjusted_Prices!AC63-1</f>
        <v/>
      </c>
      <c r="AD60" s="32">
        <f>Raw_Adjusted_Prices!AD64/Raw_Adjusted_Prices!AD63-1</f>
        <v/>
      </c>
      <c r="AE60" s="32">
        <f>Raw_Adjusted_Prices!AE64/Raw_Adjusted_Prices!AE63-1</f>
        <v/>
      </c>
      <c r="AF60" s="32">
        <f>Raw_Adjusted_Prices!AF64/Raw_Adjusted_Prices!AF63-1</f>
        <v/>
      </c>
      <c r="AG60" s="32">
        <f>Raw_Adjusted_Prices!AG64/Raw_Adjusted_Prices!AG63-1</f>
        <v/>
      </c>
      <c r="AH60" s="32">
        <f>Raw_Adjusted_Prices!AH64/Raw_Adjusted_Prices!AH63-1</f>
        <v/>
      </c>
      <c r="AI60" s="32">
        <f>Raw_Adjusted_Prices!AI64/Raw_Adjusted_Prices!AI63-1</f>
        <v/>
      </c>
      <c r="AJ60" s="32">
        <f>Raw_Adjusted_Prices!AJ64/Raw_Adjusted_Prices!AJ63-1</f>
        <v/>
      </c>
      <c r="AK60" s="32">
        <f>Raw_Adjusted_Prices!AK64/Raw_Adjusted_Prices!AK63-1</f>
        <v/>
      </c>
      <c r="AL60" s="32">
        <f>Raw_Adjusted_Prices!AL64/Raw_Adjusted_Prices!AL63-1</f>
        <v/>
      </c>
      <c r="AM60" s="32">
        <f>Raw_Adjusted_Prices!AM64/Raw_Adjusted_Prices!AM63-1</f>
        <v/>
      </c>
      <c r="AN60" s="32">
        <f>Raw_Adjusted_Prices!AN64/Raw_Adjusted_Prices!AN63-1</f>
        <v/>
      </c>
    </row>
    <row r="61">
      <c r="A61" s="31" t="inlineStr">
        <is>
          <t>2019-12-01</t>
        </is>
      </c>
      <c r="B61" s="32">
        <f>Raw_Adjusted_Prices!B65/Raw_Adjusted_Prices!B64-1</f>
        <v/>
      </c>
      <c r="C61" s="32">
        <f>Raw_Adjusted_Prices!C65/Raw_Adjusted_Prices!C64-1</f>
        <v/>
      </c>
      <c r="D61" s="32">
        <f>Raw_Adjusted_Prices!D65/Raw_Adjusted_Prices!D64-1</f>
        <v/>
      </c>
      <c r="E61" s="32">
        <f>Raw_Adjusted_Prices!E65/Raw_Adjusted_Prices!E64-1</f>
        <v/>
      </c>
      <c r="F61" s="32">
        <f>Raw_Adjusted_Prices!F65/Raw_Adjusted_Prices!F64-1</f>
        <v/>
      </c>
      <c r="G61" s="32">
        <f>Raw_Adjusted_Prices!G65/Raw_Adjusted_Prices!G64-1</f>
        <v/>
      </c>
      <c r="H61" s="32">
        <f>Raw_Adjusted_Prices!H65/Raw_Adjusted_Prices!H64-1</f>
        <v/>
      </c>
      <c r="I61" s="32">
        <f>Raw_Adjusted_Prices!I65/Raw_Adjusted_Prices!I64-1</f>
        <v/>
      </c>
      <c r="J61" s="32">
        <f>Raw_Adjusted_Prices!J65/Raw_Adjusted_Prices!J64-1</f>
        <v/>
      </c>
      <c r="K61" s="32">
        <f>Raw_Adjusted_Prices!K65/Raw_Adjusted_Prices!K64-1</f>
        <v/>
      </c>
      <c r="L61" s="32">
        <f>Raw_Adjusted_Prices!L65/Raw_Adjusted_Prices!L64-1</f>
        <v/>
      </c>
      <c r="M61" s="32">
        <f>Raw_Adjusted_Prices!M65/Raw_Adjusted_Prices!M64-1</f>
        <v/>
      </c>
      <c r="N61" s="32">
        <f>Raw_Adjusted_Prices!N65/Raw_Adjusted_Prices!N64-1</f>
        <v/>
      </c>
      <c r="O61" s="32">
        <f>Raw_Adjusted_Prices!O65/Raw_Adjusted_Prices!O64-1</f>
        <v/>
      </c>
      <c r="P61" s="32">
        <f>Raw_Adjusted_Prices!P65/Raw_Adjusted_Prices!P64-1</f>
        <v/>
      </c>
      <c r="Q61" s="32">
        <f>Raw_Adjusted_Prices!Q65/Raw_Adjusted_Prices!Q64-1</f>
        <v/>
      </c>
      <c r="R61" s="32">
        <f>Raw_Adjusted_Prices!R65/Raw_Adjusted_Prices!R64-1</f>
        <v/>
      </c>
      <c r="S61" s="32">
        <f>Raw_Adjusted_Prices!S65/Raw_Adjusted_Prices!S64-1</f>
        <v/>
      </c>
      <c r="T61" s="32">
        <f>Raw_Adjusted_Prices!T65/Raw_Adjusted_Prices!T64-1</f>
        <v/>
      </c>
      <c r="U61" s="32">
        <f>Raw_Adjusted_Prices!U65/Raw_Adjusted_Prices!U64-1</f>
        <v/>
      </c>
      <c r="V61" s="32">
        <f>Raw_Adjusted_Prices!V65/Raw_Adjusted_Prices!V64-1</f>
        <v/>
      </c>
      <c r="W61" s="32">
        <f>Raw_Adjusted_Prices!W65/Raw_Adjusted_Prices!W64-1</f>
        <v/>
      </c>
      <c r="X61" s="32">
        <f>Raw_Adjusted_Prices!X65/Raw_Adjusted_Prices!X64-1</f>
        <v/>
      </c>
      <c r="Y61" s="32">
        <f>Raw_Adjusted_Prices!Y65/Raw_Adjusted_Prices!Y64-1</f>
        <v/>
      </c>
      <c r="Z61" s="32">
        <f>Raw_Adjusted_Prices!Z65/Raw_Adjusted_Prices!Z64-1</f>
        <v/>
      </c>
      <c r="AA61" s="32">
        <f>Raw_Adjusted_Prices!AA65/Raw_Adjusted_Prices!AA64-1</f>
        <v/>
      </c>
      <c r="AB61" s="32">
        <f>Raw_Adjusted_Prices!AB65/Raw_Adjusted_Prices!AB64-1</f>
        <v/>
      </c>
      <c r="AC61" s="32">
        <f>Raw_Adjusted_Prices!AC65/Raw_Adjusted_Prices!AC64-1</f>
        <v/>
      </c>
      <c r="AD61" s="32">
        <f>Raw_Adjusted_Prices!AD65/Raw_Adjusted_Prices!AD64-1</f>
        <v/>
      </c>
      <c r="AE61" s="32">
        <f>Raw_Adjusted_Prices!AE65/Raw_Adjusted_Prices!AE64-1</f>
        <v/>
      </c>
      <c r="AF61" s="32">
        <f>Raw_Adjusted_Prices!AF65/Raw_Adjusted_Prices!AF64-1</f>
        <v/>
      </c>
      <c r="AG61" s="32">
        <f>Raw_Adjusted_Prices!AG65/Raw_Adjusted_Prices!AG64-1</f>
        <v/>
      </c>
      <c r="AH61" s="32">
        <f>Raw_Adjusted_Prices!AH65/Raw_Adjusted_Prices!AH64-1</f>
        <v/>
      </c>
      <c r="AI61" s="32">
        <f>Raw_Adjusted_Prices!AI65/Raw_Adjusted_Prices!AI64-1</f>
        <v/>
      </c>
      <c r="AJ61" s="32">
        <f>Raw_Adjusted_Prices!AJ65/Raw_Adjusted_Prices!AJ64-1</f>
        <v/>
      </c>
      <c r="AK61" s="32">
        <f>Raw_Adjusted_Prices!AK65/Raw_Adjusted_Prices!AK64-1</f>
        <v/>
      </c>
      <c r="AL61" s="32">
        <f>Raw_Adjusted_Prices!AL65/Raw_Adjusted_Prices!AL64-1</f>
        <v/>
      </c>
      <c r="AM61" s="32">
        <f>Raw_Adjusted_Prices!AM65/Raw_Adjusted_Prices!AM64-1</f>
        <v/>
      </c>
      <c r="AN61" s="32">
        <f>Raw_Adjusted_Prices!AN65/Raw_Adjusted_Prices!AN64-1</f>
        <v/>
      </c>
    </row>
    <row r="62">
      <c r="A62" s="31" t="inlineStr">
        <is>
          <t>2020-01-01</t>
        </is>
      </c>
      <c r="B62" s="32">
        <f>Raw_Adjusted_Prices!B66/Raw_Adjusted_Prices!B65-1</f>
        <v/>
      </c>
      <c r="C62" s="32">
        <f>Raw_Adjusted_Prices!C66/Raw_Adjusted_Prices!C65-1</f>
        <v/>
      </c>
      <c r="D62" s="32">
        <f>Raw_Adjusted_Prices!D66/Raw_Adjusted_Prices!D65-1</f>
        <v/>
      </c>
      <c r="E62" s="32">
        <f>Raw_Adjusted_Prices!E66/Raw_Adjusted_Prices!E65-1</f>
        <v/>
      </c>
      <c r="F62" s="32">
        <f>Raw_Adjusted_Prices!F66/Raw_Adjusted_Prices!F65-1</f>
        <v/>
      </c>
      <c r="G62" s="32">
        <f>Raw_Adjusted_Prices!G66/Raw_Adjusted_Prices!G65-1</f>
        <v/>
      </c>
      <c r="H62" s="32">
        <f>Raw_Adjusted_Prices!H66/Raw_Adjusted_Prices!H65-1</f>
        <v/>
      </c>
      <c r="I62" s="32">
        <f>Raw_Adjusted_Prices!I66/Raw_Adjusted_Prices!I65-1</f>
        <v/>
      </c>
      <c r="J62" s="32">
        <f>Raw_Adjusted_Prices!J66/Raw_Adjusted_Prices!J65-1</f>
        <v/>
      </c>
      <c r="K62" s="32">
        <f>Raw_Adjusted_Prices!K66/Raw_Adjusted_Prices!K65-1</f>
        <v/>
      </c>
      <c r="L62" s="32">
        <f>Raw_Adjusted_Prices!L66/Raw_Adjusted_Prices!L65-1</f>
        <v/>
      </c>
      <c r="M62" s="32">
        <f>Raw_Adjusted_Prices!M66/Raw_Adjusted_Prices!M65-1</f>
        <v/>
      </c>
      <c r="N62" s="32">
        <f>Raw_Adjusted_Prices!N66/Raw_Adjusted_Prices!N65-1</f>
        <v/>
      </c>
      <c r="O62" s="32">
        <f>Raw_Adjusted_Prices!O66/Raw_Adjusted_Prices!O65-1</f>
        <v/>
      </c>
      <c r="P62" s="32">
        <f>Raw_Adjusted_Prices!P66/Raw_Adjusted_Prices!P65-1</f>
        <v/>
      </c>
      <c r="Q62" s="32">
        <f>Raw_Adjusted_Prices!Q66/Raw_Adjusted_Prices!Q65-1</f>
        <v/>
      </c>
      <c r="R62" s="32">
        <f>Raw_Adjusted_Prices!R66/Raw_Adjusted_Prices!R65-1</f>
        <v/>
      </c>
      <c r="S62" s="32">
        <f>Raw_Adjusted_Prices!S66/Raw_Adjusted_Prices!S65-1</f>
        <v/>
      </c>
      <c r="T62" s="32">
        <f>Raw_Adjusted_Prices!T66/Raw_Adjusted_Prices!T65-1</f>
        <v/>
      </c>
      <c r="U62" s="32">
        <f>Raw_Adjusted_Prices!U66/Raw_Adjusted_Prices!U65-1</f>
        <v/>
      </c>
      <c r="V62" s="32">
        <f>Raw_Adjusted_Prices!V66/Raw_Adjusted_Prices!V65-1</f>
        <v/>
      </c>
      <c r="W62" s="32">
        <f>Raw_Adjusted_Prices!W66/Raw_Adjusted_Prices!W65-1</f>
        <v/>
      </c>
      <c r="X62" s="32">
        <f>Raw_Adjusted_Prices!X66/Raw_Adjusted_Prices!X65-1</f>
        <v/>
      </c>
      <c r="Y62" s="32">
        <f>Raw_Adjusted_Prices!Y66/Raw_Adjusted_Prices!Y65-1</f>
        <v/>
      </c>
      <c r="Z62" s="32">
        <f>Raw_Adjusted_Prices!Z66/Raw_Adjusted_Prices!Z65-1</f>
        <v/>
      </c>
      <c r="AA62" s="32">
        <f>Raw_Adjusted_Prices!AA66/Raw_Adjusted_Prices!AA65-1</f>
        <v/>
      </c>
      <c r="AB62" s="32">
        <f>Raw_Adjusted_Prices!AB66/Raw_Adjusted_Prices!AB65-1</f>
        <v/>
      </c>
      <c r="AC62" s="32">
        <f>Raw_Adjusted_Prices!AC66/Raw_Adjusted_Prices!AC65-1</f>
        <v/>
      </c>
      <c r="AD62" s="32">
        <f>Raw_Adjusted_Prices!AD66/Raw_Adjusted_Prices!AD65-1</f>
        <v/>
      </c>
      <c r="AE62" s="32">
        <f>Raw_Adjusted_Prices!AE66/Raw_Adjusted_Prices!AE65-1</f>
        <v/>
      </c>
      <c r="AF62" s="32">
        <f>Raw_Adjusted_Prices!AF66/Raw_Adjusted_Prices!AF65-1</f>
        <v/>
      </c>
      <c r="AG62" s="32">
        <f>Raw_Adjusted_Prices!AG66/Raw_Adjusted_Prices!AG65-1</f>
        <v/>
      </c>
      <c r="AH62" s="32">
        <f>Raw_Adjusted_Prices!AH66/Raw_Adjusted_Prices!AH65-1</f>
        <v/>
      </c>
      <c r="AI62" s="32">
        <f>Raw_Adjusted_Prices!AI66/Raw_Adjusted_Prices!AI65-1</f>
        <v/>
      </c>
      <c r="AJ62" s="32">
        <f>Raw_Adjusted_Prices!AJ66/Raw_Adjusted_Prices!AJ65-1</f>
        <v/>
      </c>
      <c r="AK62" s="32">
        <f>Raw_Adjusted_Prices!AK66/Raw_Adjusted_Prices!AK65-1</f>
        <v/>
      </c>
      <c r="AL62" s="32">
        <f>Raw_Adjusted_Prices!AL66/Raw_Adjusted_Prices!AL65-1</f>
        <v/>
      </c>
      <c r="AM62" s="32">
        <f>Raw_Adjusted_Prices!AM66/Raw_Adjusted_Prices!AM65-1</f>
        <v/>
      </c>
      <c r="AN62" s="32">
        <f>Raw_Adjusted_Prices!AN66/Raw_Adjusted_Prices!AN65-1</f>
        <v/>
      </c>
    </row>
    <row r="63">
      <c r="A63" s="31" t="inlineStr">
        <is>
          <t>2020-02-01</t>
        </is>
      </c>
      <c r="B63" s="32">
        <f>Raw_Adjusted_Prices!B67/Raw_Adjusted_Prices!B66-1</f>
        <v/>
      </c>
      <c r="C63" s="32">
        <f>Raw_Adjusted_Prices!C67/Raw_Adjusted_Prices!C66-1</f>
        <v/>
      </c>
      <c r="D63" s="32">
        <f>Raw_Adjusted_Prices!D67/Raw_Adjusted_Prices!D66-1</f>
        <v/>
      </c>
      <c r="E63" s="32">
        <f>Raw_Adjusted_Prices!E67/Raw_Adjusted_Prices!E66-1</f>
        <v/>
      </c>
      <c r="F63" s="32">
        <f>Raw_Adjusted_Prices!F67/Raw_Adjusted_Prices!F66-1</f>
        <v/>
      </c>
      <c r="G63" s="32">
        <f>Raw_Adjusted_Prices!G67/Raw_Adjusted_Prices!G66-1</f>
        <v/>
      </c>
      <c r="H63" s="32">
        <f>Raw_Adjusted_Prices!H67/Raw_Adjusted_Prices!H66-1</f>
        <v/>
      </c>
      <c r="I63" s="32">
        <f>Raw_Adjusted_Prices!I67/Raw_Adjusted_Prices!I66-1</f>
        <v/>
      </c>
      <c r="J63" s="32">
        <f>Raw_Adjusted_Prices!J67/Raw_Adjusted_Prices!J66-1</f>
        <v/>
      </c>
      <c r="K63" s="32">
        <f>Raw_Adjusted_Prices!K67/Raw_Adjusted_Prices!K66-1</f>
        <v/>
      </c>
      <c r="L63" s="32">
        <f>Raw_Adjusted_Prices!L67/Raw_Adjusted_Prices!L66-1</f>
        <v/>
      </c>
      <c r="M63" s="32">
        <f>Raw_Adjusted_Prices!M67/Raw_Adjusted_Prices!M66-1</f>
        <v/>
      </c>
      <c r="N63" s="32">
        <f>Raw_Adjusted_Prices!N67/Raw_Adjusted_Prices!N66-1</f>
        <v/>
      </c>
      <c r="O63" s="32">
        <f>Raw_Adjusted_Prices!O67/Raw_Adjusted_Prices!O66-1</f>
        <v/>
      </c>
      <c r="P63" s="32">
        <f>Raw_Adjusted_Prices!P67/Raw_Adjusted_Prices!P66-1</f>
        <v/>
      </c>
      <c r="Q63" s="32">
        <f>Raw_Adjusted_Prices!Q67/Raw_Adjusted_Prices!Q66-1</f>
        <v/>
      </c>
      <c r="R63" s="32">
        <f>Raw_Adjusted_Prices!R67/Raw_Adjusted_Prices!R66-1</f>
        <v/>
      </c>
      <c r="S63" s="32">
        <f>Raw_Adjusted_Prices!S67/Raw_Adjusted_Prices!S66-1</f>
        <v/>
      </c>
      <c r="T63" s="32">
        <f>Raw_Adjusted_Prices!T67/Raw_Adjusted_Prices!T66-1</f>
        <v/>
      </c>
      <c r="U63" s="32">
        <f>Raw_Adjusted_Prices!U67/Raw_Adjusted_Prices!U66-1</f>
        <v/>
      </c>
      <c r="V63" s="32">
        <f>Raw_Adjusted_Prices!V67/Raw_Adjusted_Prices!V66-1</f>
        <v/>
      </c>
      <c r="W63" s="32">
        <f>Raw_Adjusted_Prices!W67/Raw_Adjusted_Prices!W66-1</f>
        <v/>
      </c>
      <c r="X63" s="32">
        <f>Raw_Adjusted_Prices!X67/Raw_Adjusted_Prices!X66-1</f>
        <v/>
      </c>
      <c r="Y63" s="32">
        <f>Raw_Adjusted_Prices!Y67/Raw_Adjusted_Prices!Y66-1</f>
        <v/>
      </c>
      <c r="Z63" s="32">
        <f>Raw_Adjusted_Prices!Z67/Raw_Adjusted_Prices!Z66-1</f>
        <v/>
      </c>
      <c r="AA63" s="32">
        <f>Raw_Adjusted_Prices!AA67/Raw_Adjusted_Prices!AA66-1</f>
        <v/>
      </c>
      <c r="AB63" s="32">
        <f>Raw_Adjusted_Prices!AB67/Raw_Adjusted_Prices!AB66-1</f>
        <v/>
      </c>
      <c r="AC63" s="32">
        <f>Raw_Adjusted_Prices!AC67/Raw_Adjusted_Prices!AC66-1</f>
        <v/>
      </c>
      <c r="AD63" s="32">
        <f>Raw_Adjusted_Prices!AD67/Raw_Adjusted_Prices!AD66-1</f>
        <v/>
      </c>
      <c r="AE63" s="32">
        <f>Raw_Adjusted_Prices!AE67/Raw_Adjusted_Prices!AE66-1</f>
        <v/>
      </c>
      <c r="AF63" s="32">
        <f>Raw_Adjusted_Prices!AF67/Raw_Adjusted_Prices!AF66-1</f>
        <v/>
      </c>
      <c r="AG63" s="32">
        <f>Raw_Adjusted_Prices!AG67/Raw_Adjusted_Prices!AG66-1</f>
        <v/>
      </c>
      <c r="AH63" s="32">
        <f>Raw_Adjusted_Prices!AH67/Raw_Adjusted_Prices!AH66-1</f>
        <v/>
      </c>
      <c r="AI63" s="32">
        <f>Raw_Adjusted_Prices!AI67/Raw_Adjusted_Prices!AI66-1</f>
        <v/>
      </c>
      <c r="AJ63" s="32">
        <f>Raw_Adjusted_Prices!AJ67/Raw_Adjusted_Prices!AJ66-1</f>
        <v/>
      </c>
      <c r="AK63" s="32">
        <f>Raw_Adjusted_Prices!AK67/Raw_Adjusted_Prices!AK66-1</f>
        <v/>
      </c>
      <c r="AL63" s="32">
        <f>Raw_Adjusted_Prices!AL67/Raw_Adjusted_Prices!AL66-1</f>
        <v/>
      </c>
      <c r="AM63" s="32">
        <f>Raw_Adjusted_Prices!AM67/Raw_Adjusted_Prices!AM66-1</f>
        <v/>
      </c>
      <c r="AN63" s="32">
        <f>Raw_Adjusted_Prices!AN67/Raw_Adjusted_Prices!AN66-1</f>
        <v/>
      </c>
    </row>
    <row r="64">
      <c r="A64" s="31" t="inlineStr">
        <is>
          <t>2020-03-01</t>
        </is>
      </c>
      <c r="B64" s="32">
        <f>Raw_Adjusted_Prices!B68/Raw_Adjusted_Prices!B67-1</f>
        <v/>
      </c>
      <c r="C64" s="32">
        <f>Raw_Adjusted_Prices!C68/Raw_Adjusted_Prices!C67-1</f>
        <v/>
      </c>
      <c r="D64" s="32">
        <f>Raw_Adjusted_Prices!D68/Raw_Adjusted_Prices!D67-1</f>
        <v/>
      </c>
      <c r="E64" s="32">
        <f>Raw_Adjusted_Prices!E68/Raw_Adjusted_Prices!E67-1</f>
        <v/>
      </c>
      <c r="F64" s="32">
        <f>Raw_Adjusted_Prices!F68/Raw_Adjusted_Prices!F67-1</f>
        <v/>
      </c>
      <c r="G64" s="32">
        <f>Raw_Adjusted_Prices!G68/Raw_Adjusted_Prices!G67-1</f>
        <v/>
      </c>
      <c r="H64" s="32">
        <f>Raw_Adjusted_Prices!H68/Raw_Adjusted_Prices!H67-1</f>
        <v/>
      </c>
      <c r="I64" s="32">
        <f>Raw_Adjusted_Prices!I68/Raw_Adjusted_Prices!I67-1</f>
        <v/>
      </c>
      <c r="J64" s="32">
        <f>Raw_Adjusted_Prices!J68/Raw_Adjusted_Prices!J67-1</f>
        <v/>
      </c>
      <c r="K64" s="32">
        <f>Raw_Adjusted_Prices!K68/Raw_Adjusted_Prices!K67-1</f>
        <v/>
      </c>
      <c r="L64" s="32">
        <f>Raw_Adjusted_Prices!L68/Raw_Adjusted_Prices!L67-1</f>
        <v/>
      </c>
      <c r="M64" s="32">
        <f>Raw_Adjusted_Prices!M68/Raw_Adjusted_Prices!M67-1</f>
        <v/>
      </c>
      <c r="N64" s="32">
        <f>Raw_Adjusted_Prices!N68/Raw_Adjusted_Prices!N67-1</f>
        <v/>
      </c>
      <c r="O64" s="32">
        <f>Raw_Adjusted_Prices!O68/Raw_Adjusted_Prices!O67-1</f>
        <v/>
      </c>
      <c r="P64" s="32">
        <f>Raw_Adjusted_Prices!P68/Raw_Adjusted_Prices!P67-1</f>
        <v/>
      </c>
      <c r="Q64" s="32">
        <f>Raw_Adjusted_Prices!Q68/Raw_Adjusted_Prices!Q67-1</f>
        <v/>
      </c>
      <c r="R64" s="32">
        <f>Raw_Adjusted_Prices!R68/Raw_Adjusted_Prices!R67-1</f>
        <v/>
      </c>
      <c r="S64" s="32">
        <f>Raw_Adjusted_Prices!S68/Raw_Adjusted_Prices!S67-1</f>
        <v/>
      </c>
      <c r="T64" s="32">
        <f>Raw_Adjusted_Prices!T68/Raw_Adjusted_Prices!T67-1</f>
        <v/>
      </c>
      <c r="U64" s="32">
        <f>Raw_Adjusted_Prices!U68/Raw_Adjusted_Prices!U67-1</f>
        <v/>
      </c>
      <c r="V64" s="32">
        <f>Raw_Adjusted_Prices!V68/Raw_Adjusted_Prices!V67-1</f>
        <v/>
      </c>
      <c r="W64" s="32">
        <f>Raw_Adjusted_Prices!W68/Raw_Adjusted_Prices!W67-1</f>
        <v/>
      </c>
      <c r="X64" s="32">
        <f>Raw_Adjusted_Prices!X68/Raw_Adjusted_Prices!X67-1</f>
        <v/>
      </c>
      <c r="Y64" s="32">
        <f>Raw_Adjusted_Prices!Y68/Raw_Adjusted_Prices!Y67-1</f>
        <v/>
      </c>
      <c r="Z64" s="32">
        <f>Raw_Adjusted_Prices!Z68/Raw_Adjusted_Prices!Z67-1</f>
        <v/>
      </c>
      <c r="AA64" s="32">
        <f>Raw_Adjusted_Prices!AA68/Raw_Adjusted_Prices!AA67-1</f>
        <v/>
      </c>
      <c r="AB64" s="32">
        <f>Raw_Adjusted_Prices!AB68/Raw_Adjusted_Prices!AB67-1</f>
        <v/>
      </c>
      <c r="AC64" s="32">
        <f>Raw_Adjusted_Prices!AC68/Raw_Adjusted_Prices!AC67-1</f>
        <v/>
      </c>
      <c r="AD64" s="32">
        <f>Raw_Adjusted_Prices!AD68/Raw_Adjusted_Prices!AD67-1</f>
        <v/>
      </c>
      <c r="AE64" s="32">
        <f>Raw_Adjusted_Prices!AE68/Raw_Adjusted_Prices!AE67-1</f>
        <v/>
      </c>
      <c r="AF64" s="32">
        <f>Raw_Adjusted_Prices!AF68/Raw_Adjusted_Prices!AF67-1</f>
        <v/>
      </c>
      <c r="AG64" s="32">
        <f>Raw_Adjusted_Prices!AG68/Raw_Adjusted_Prices!AG67-1</f>
        <v/>
      </c>
      <c r="AH64" s="32">
        <f>Raw_Adjusted_Prices!AH68/Raw_Adjusted_Prices!AH67-1</f>
        <v/>
      </c>
      <c r="AI64" s="32">
        <f>Raw_Adjusted_Prices!AI68/Raw_Adjusted_Prices!AI67-1</f>
        <v/>
      </c>
      <c r="AJ64" s="32">
        <f>Raw_Adjusted_Prices!AJ68/Raw_Adjusted_Prices!AJ67-1</f>
        <v/>
      </c>
      <c r="AK64" s="32">
        <f>Raw_Adjusted_Prices!AK68/Raw_Adjusted_Prices!AK67-1</f>
        <v/>
      </c>
      <c r="AL64" s="32">
        <f>Raw_Adjusted_Prices!AL68/Raw_Adjusted_Prices!AL67-1</f>
        <v/>
      </c>
      <c r="AM64" s="32">
        <f>Raw_Adjusted_Prices!AM68/Raw_Adjusted_Prices!AM67-1</f>
        <v/>
      </c>
      <c r="AN64" s="32">
        <f>Raw_Adjusted_Prices!AN68/Raw_Adjusted_Prices!AN67-1</f>
        <v/>
      </c>
    </row>
    <row r="65">
      <c r="A65" s="31" t="inlineStr">
        <is>
          <t>2020-04-01</t>
        </is>
      </c>
      <c r="B65" s="32">
        <f>Raw_Adjusted_Prices!B69/Raw_Adjusted_Prices!B68-1</f>
        <v/>
      </c>
      <c r="C65" s="32">
        <f>Raw_Adjusted_Prices!C69/Raw_Adjusted_Prices!C68-1</f>
        <v/>
      </c>
      <c r="D65" s="32">
        <f>Raw_Adjusted_Prices!D69/Raw_Adjusted_Prices!D68-1</f>
        <v/>
      </c>
      <c r="E65" s="32">
        <f>Raw_Adjusted_Prices!E69/Raw_Adjusted_Prices!E68-1</f>
        <v/>
      </c>
      <c r="F65" s="32">
        <f>Raw_Adjusted_Prices!F69/Raw_Adjusted_Prices!F68-1</f>
        <v/>
      </c>
      <c r="G65" s="32">
        <f>Raw_Adjusted_Prices!G69/Raw_Adjusted_Prices!G68-1</f>
        <v/>
      </c>
      <c r="H65" s="32">
        <f>Raw_Adjusted_Prices!H69/Raw_Adjusted_Prices!H68-1</f>
        <v/>
      </c>
      <c r="I65" s="32">
        <f>Raw_Adjusted_Prices!I69/Raw_Adjusted_Prices!I68-1</f>
        <v/>
      </c>
      <c r="J65" s="32">
        <f>Raw_Adjusted_Prices!J69/Raw_Adjusted_Prices!J68-1</f>
        <v/>
      </c>
      <c r="K65" s="32">
        <f>Raw_Adjusted_Prices!K69/Raw_Adjusted_Prices!K68-1</f>
        <v/>
      </c>
      <c r="L65" s="32">
        <f>Raw_Adjusted_Prices!L69/Raw_Adjusted_Prices!L68-1</f>
        <v/>
      </c>
      <c r="M65" s="32">
        <f>Raw_Adjusted_Prices!M69/Raw_Adjusted_Prices!M68-1</f>
        <v/>
      </c>
      <c r="N65" s="32">
        <f>Raw_Adjusted_Prices!N69/Raw_Adjusted_Prices!N68-1</f>
        <v/>
      </c>
      <c r="O65" s="32">
        <f>Raw_Adjusted_Prices!O69/Raw_Adjusted_Prices!O68-1</f>
        <v/>
      </c>
      <c r="P65" s="32">
        <f>Raw_Adjusted_Prices!P69/Raw_Adjusted_Prices!P68-1</f>
        <v/>
      </c>
      <c r="Q65" s="32">
        <f>Raw_Adjusted_Prices!Q69/Raw_Adjusted_Prices!Q68-1</f>
        <v/>
      </c>
      <c r="R65" s="32">
        <f>Raw_Adjusted_Prices!R69/Raw_Adjusted_Prices!R68-1</f>
        <v/>
      </c>
      <c r="S65" s="32">
        <f>Raw_Adjusted_Prices!S69/Raw_Adjusted_Prices!S68-1</f>
        <v/>
      </c>
      <c r="T65" s="32">
        <f>Raw_Adjusted_Prices!T69/Raw_Adjusted_Prices!T68-1</f>
        <v/>
      </c>
      <c r="U65" s="32">
        <f>Raw_Adjusted_Prices!U69/Raw_Adjusted_Prices!U68-1</f>
        <v/>
      </c>
      <c r="V65" s="32">
        <f>Raw_Adjusted_Prices!V69/Raw_Adjusted_Prices!V68-1</f>
        <v/>
      </c>
      <c r="W65" s="32">
        <f>Raw_Adjusted_Prices!W69/Raw_Adjusted_Prices!W68-1</f>
        <v/>
      </c>
      <c r="X65" s="32">
        <f>Raw_Adjusted_Prices!X69/Raw_Adjusted_Prices!X68-1</f>
        <v/>
      </c>
      <c r="Y65" s="32">
        <f>Raw_Adjusted_Prices!Y69/Raw_Adjusted_Prices!Y68-1</f>
        <v/>
      </c>
      <c r="Z65" s="32">
        <f>Raw_Adjusted_Prices!Z69/Raw_Adjusted_Prices!Z68-1</f>
        <v/>
      </c>
      <c r="AA65" s="32">
        <f>Raw_Adjusted_Prices!AA69/Raw_Adjusted_Prices!AA68-1</f>
        <v/>
      </c>
      <c r="AB65" s="32">
        <f>Raw_Adjusted_Prices!AB69/Raw_Adjusted_Prices!AB68-1</f>
        <v/>
      </c>
      <c r="AC65" s="32">
        <f>Raw_Adjusted_Prices!AC69/Raw_Adjusted_Prices!AC68-1</f>
        <v/>
      </c>
      <c r="AD65" s="32">
        <f>Raw_Adjusted_Prices!AD69/Raw_Adjusted_Prices!AD68-1</f>
        <v/>
      </c>
      <c r="AE65" s="32">
        <f>Raw_Adjusted_Prices!AE69/Raw_Adjusted_Prices!AE68-1</f>
        <v/>
      </c>
      <c r="AF65" s="32">
        <f>Raw_Adjusted_Prices!AF69/Raw_Adjusted_Prices!AF68-1</f>
        <v/>
      </c>
      <c r="AG65" s="32">
        <f>Raw_Adjusted_Prices!AG69/Raw_Adjusted_Prices!AG68-1</f>
        <v/>
      </c>
      <c r="AH65" s="32">
        <f>Raw_Adjusted_Prices!AH69/Raw_Adjusted_Prices!AH68-1</f>
        <v/>
      </c>
      <c r="AI65" s="32">
        <f>Raw_Adjusted_Prices!AI69/Raw_Adjusted_Prices!AI68-1</f>
        <v/>
      </c>
      <c r="AJ65" s="32">
        <f>Raw_Adjusted_Prices!AJ69/Raw_Adjusted_Prices!AJ68-1</f>
        <v/>
      </c>
      <c r="AK65" s="32">
        <f>Raw_Adjusted_Prices!AK69/Raw_Adjusted_Prices!AK68-1</f>
        <v/>
      </c>
      <c r="AL65" s="32">
        <f>Raw_Adjusted_Prices!AL69/Raw_Adjusted_Prices!AL68-1</f>
        <v/>
      </c>
      <c r="AM65" s="32">
        <f>Raw_Adjusted_Prices!AM69/Raw_Adjusted_Prices!AM68-1</f>
        <v/>
      </c>
      <c r="AN65" s="32">
        <f>Raw_Adjusted_Prices!AN69/Raw_Adjusted_Prices!AN68-1</f>
        <v/>
      </c>
    </row>
    <row r="66">
      <c r="A66" s="31" t="inlineStr">
        <is>
          <t>2020-05-01</t>
        </is>
      </c>
      <c r="B66" s="32">
        <f>Raw_Adjusted_Prices!B70/Raw_Adjusted_Prices!B69-1</f>
        <v/>
      </c>
      <c r="C66" s="32">
        <f>Raw_Adjusted_Prices!C70/Raw_Adjusted_Prices!C69-1</f>
        <v/>
      </c>
      <c r="D66" s="32">
        <f>Raw_Adjusted_Prices!D70/Raw_Adjusted_Prices!D69-1</f>
        <v/>
      </c>
      <c r="E66" s="32">
        <f>Raw_Adjusted_Prices!E70/Raw_Adjusted_Prices!E69-1</f>
        <v/>
      </c>
      <c r="F66" s="32">
        <f>Raw_Adjusted_Prices!F70/Raw_Adjusted_Prices!F69-1</f>
        <v/>
      </c>
      <c r="G66" s="32">
        <f>Raw_Adjusted_Prices!G70/Raw_Adjusted_Prices!G69-1</f>
        <v/>
      </c>
      <c r="H66" s="32">
        <f>Raw_Adjusted_Prices!H70/Raw_Adjusted_Prices!H69-1</f>
        <v/>
      </c>
      <c r="I66" s="32">
        <f>Raw_Adjusted_Prices!I70/Raw_Adjusted_Prices!I69-1</f>
        <v/>
      </c>
      <c r="J66" s="32">
        <f>Raw_Adjusted_Prices!J70/Raw_Adjusted_Prices!J69-1</f>
        <v/>
      </c>
      <c r="K66" s="32">
        <f>Raw_Adjusted_Prices!K70/Raw_Adjusted_Prices!K69-1</f>
        <v/>
      </c>
      <c r="L66" s="32">
        <f>Raw_Adjusted_Prices!L70/Raw_Adjusted_Prices!L69-1</f>
        <v/>
      </c>
      <c r="M66" s="32">
        <f>Raw_Adjusted_Prices!M70/Raw_Adjusted_Prices!M69-1</f>
        <v/>
      </c>
      <c r="N66" s="32">
        <f>Raw_Adjusted_Prices!N70/Raw_Adjusted_Prices!N69-1</f>
        <v/>
      </c>
      <c r="O66" s="32">
        <f>Raw_Adjusted_Prices!O70/Raw_Adjusted_Prices!O69-1</f>
        <v/>
      </c>
      <c r="P66" s="32">
        <f>Raw_Adjusted_Prices!P70/Raw_Adjusted_Prices!P69-1</f>
        <v/>
      </c>
      <c r="Q66" s="32">
        <f>Raw_Adjusted_Prices!Q70/Raw_Adjusted_Prices!Q69-1</f>
        <v/>
      </c>
      <c r="R66" s="32">
        <f>Raw_Adjusted_Prices!R70/Raw_Adjusted_Prices!R69-1</f>
        <v/>
      </c>
      <c r="S66" s="32">
        <f>Raw_Adjusted_Prices!S70/Raw_Adjusted_Prices!S69-1</f>
        <v/>
      </c>
      <c r="T66" s="32">
        <f>Raw_Adjusted_Prices!T70/Raw_Adjusted_Prices!T69-1</f>
        <v/>
      </c>
      <c r="U66" s="32">
        <f>Raw_Adjusted_Prices!U70/Raw_Adjusted_Prices!U69-1</f>
        <v/>
      </c>
      <c r="V66" s="32">
        <f>Raw_Adjusted_Prices!V70/Raw_Adjusted_Prices!V69-1</f>
        <v/>
      </c>
      <c r="W66" s="32">
        <f>Raw_Adjusted_Prices!W70/Raw_Adjusted_Prices!W69-1</f>
        <v/>
      </c>
      <c r="X66" s="32">
        <f>Raw_Adjusted_Prices!X70/Raw_Adjusted_Prices!X69-1</f>
        <v/>
      </c>
      <c r="Y66" s="32">
        <f>Raw_Adjusted_Prices!Y70/Raw_Adjusted_Prices!Y69-1</f>
        <v/>
      </c>
      <c r="Z66" s="32">
        <f>Raw_Adjusted_Prices!Z70/Raw_Adjusted_Prices!Z69-1</f>
        <v/>
      </c>
      <c r="AA66" s="32">
        <f>Raw_Adjusted_Prices!AA70/Raw_Adjusted_Prices!AA69-1</f>
        <v/>
      </c>
      <c r="AB66" s="32">
        <f>Raw_Adjusted_Prices!AB70/Raw_Adjusted_Prices!AB69-1</f>
        <v/>
      </c>
      <c r="AC66" s="32">
        <f>Raw_Adjusted_Prices!AC70/Raw_Adjusted_Prices!AC69-1</f>
        <v/>
      </c>
      <c r="AD66" s="32">
        <f>Raw_Adjusted_Prices!AD70/Raw_Adjusted_Prices!AD69-1</f>
        <v/>
      </c>
      <c r="AE66" s="32">
        <f>Raw_Adjusted_Prices!AE70/Raw_Adjusted_Prices!AE69-1</f>
        <v/>
      </c>
      <c r="AF66" s="32">
        <f>Raw_Adjusted_Prices!AF70/Raw_Adjusted_Prices!AF69-1</f>
        <v/>
      </c>
      <c r="AG66" s="32">
        <f>Raw_Adjusted_Prices!AG70/Raw_Adjusted_Prices!AG69-1</f>
        <v/>
      </c>
      <c r="AH66" s="32">
        <f>Raw_Adjusted_Prices!AH70/Raw_Adjusted_Prices!AH69-1</f>
        <v/>
      </c>
      <c r="AI66" s="32">
        <f>Raw_Adjusted_Prices!AI70/Raw_Adjusted_Prices!AI69-1</f>
        <v/>
      </c>
      <c r="AJ66" s="32">
        <f>Raw_Adjusted_Prices!AJ70/Raw_Adjusted_Prices!AJ69-1</f>
        <v/>
      </c>
      <c r="AK66" s="32">
        <f>Raw_Adjusted_Prices!AK70/Raw_Adjusted_Prices!AK69-1</f>
        <v/>
      </c>
      <c r="AL66" s="32">
        <f>Raw_Adjusted_Prices!AL70/Raw_Adjusted_Prices!AL69-1</f>
        <v/>
      </c>
      <c r="AM66" s="32">
        <f>Raw_Adjusted_Prices!AM70/Raw_Adjusted_Prices!AM69-1</f>
        <v/>
      </c>
      <c r="AN66" s="32">
        <f>Raw_Adjusted_Prices!AN70/Raw_Adjusted_Prices!AN69-1</f>
        <v/>
      </c>
    </row>
    <row r="67">
      <c r="A67" s="31" t="inlineStr">
        <is>
          <t>2020-06-01</t>
        </is>
      </c>
      <c r="B67" s="32">
        <f>Raw_Adjusted_Prices!B71/Raw_Adjusted_Prices!B70-1</f>
        <v/>
      </c>
      <c r="C67" s="32">
        <f>Raw_Adjusted_Prices!C71/Raw_Adjusted_Prices!C70-1</f>
        <v/>
      </c>
      <c r="D67" s="32">
        <f>Raw_Adjusted_Prices!D71/Raw_Adjusted_Prices!D70-1</f>
        <v/>
      </c>
      <c r="E67" s="32">
        <f>Raw_Adjusted_Prices!E71/Raw_Adjusted_Prices!E70-1</f>
        <v/>
      </c>
      <c r="F67" s="32">
        <f>Raw_Adjusted_Prices!F71/Raw_Adjusted_Prices!F70-1</f>
        <v/>
      </c>
      <c r="G67" s="32">
        <f>Raw_Adjusted_Prices!G71/Raw_Adjusted_Prices!G70-1</f>
        <v/>
      </c>
      <c r="H67" s="32">
        <f>Raw_Adjusted_Prices!H71/Raw_Adjusted_Prices!H70-1</f>
        <v/>
      </c>
      <c r="I67" s="32">
        <f>Raw_Adjusted_Prices!I71/Raw_Adjusted_Prices!I70-1</f>
        <v/>
      </c>
      <c r="J67" s="32">
        <f>Raw_Adjusted_Prices!J71/Raw_Adjusted_Prices!J70-1</f>
        <v/>
      </c>
      <c r="K67" s="32">
        <f>Raw_Adjusted_Prices!K71/Raw_Adjusted_Prices!K70-1</f>
        <v/>
      </c>
      <c r="L67" s="32">
        <f>Raw_Adjusted_Prices!L71/Raw_Adjusted_Prices!L70-1</f>
        <v/>
      </c>
      <c r="M67" s="32">
        <f>Raw_Adjusted_Prices!M71/Raw_Adjusted_Prices!M70-1</f>
        <v/>
      </c>
      <c r="N67" s="32">
        <f>Raw_Adjusted_Prices!N71/Raw_Adjusted_Prices!N70-1</f>
        <v/>
      </c>
      <c r="O67" s="32">
        <f>Raw_Adjusted_Prices!O71/Raw_Adjusted_Prices!O70-1</f>
        <v/>
      </c>
      <c r="P67" s="32">
        <f>Raw_Adjusted_Prices!P71/Raw_Adjusted_Prices!P70-1</f>
        <v/>
      </c>
      <c r="Q67" s="32">
        <f>Raw_Adjusted_Prices!Q71/Raw_Adjusted_Prices!Q70-1</f>
        <v/>
      </c>
      <c r="R67" s="32">
        <f>Raw_Adjusted_Prices!R71/Raw_Adjusted_Prices!R70-1</f>
        <v/>
      </c>
      <c r="S67" s="32">
        <f>Raw_Adjusted_Prices!S71/Raw_Adjusted_Prices!S70-1</f>
        <v/>
      </c>
      <c r="T67" s="32">
        <f>Raw_Adjusted_Prices!T71/Raw_Adjusted_Prices!T70-1</f>
        <v/>
      </c>
      <c r="U67" s="32">
        <f>Raw_Adjusted_Prices!U71/Raw_Adjusted_Prices!U70-1</f>
        <v/>
      </c>
      <c r="V67" s="32">
        <f>Raw_Adjusted_Prices!V71/Raw_Adjusted_Prices!V70-1</f>
        <v/>
      </c>
      <c r="W67" s="32">
        <f>Raw_Adjusted_Prices!W71/Raw_Adjusted_Prices!W70-1</f>
        <v/>
      </c>
      <c r="X67" s="32">
        <f>Raw_Adjusted_Prices!X71/Raw_Adjusted_Prices!X70-1</f>
        <v/>
      </c>
      <c r="Y67" s="32">
        <f>Raw_Adjusted_Prices!Y71/Raw_Adjusted_Prices!Y70-1</f>
        <v/>
      </c>
      <c r="Z67" s="32">
        <f>Raw_Adjusted_Prices!Z71/Raw_Adjusted_Prices!Z70-1</f>
        <v/>
      </c>
      <c r="AA67" s="32">
        <f>Raw_Adjusted_Prices!AA71/Raw_Adjusted_Prices!AA70-1</f>
        <v/>
      </c>
      <c r="AB67" s="32">
        <f>Raw_Adjusted_Prices!AB71/Raw_Adjusted_Prices!AB70-1</f>
        <v/>
      </c>
      <c r="AC67" s="32">
        <f>Raw_Adjusted_Prices!AC71/Raw_Adjusted_Prices!AC70-1</f>
        <v/>
      </c>
      <c r="AD67" s="32">
        <f>Raw_Adjusted_Prices!AD71/Raw_Adjusted_Prices!AD70-1</f>
        <v/>
      </c>
      <c r="AE67" s="32">
        <f>Raw_Adjusted_Prices!AE71/Raw_Adjusted_Prices!AE70-1</f>
        <v/>
      </c>
      <c r="AF67" s="32">
        <f>Raw_Adjusted_Prices!AF71/Raw_Adjusted_Prices!AF70-1</f>
        <v/>
      </c>
      <c r="AG67" s="32">
        <f>Raw_Adjusted_Prices!AG71/Raw_Adjusted_Prices!AG70-1</f>
        <v/>
      </c>
      <c r="AH67" s="32">
        <f>Raw_Adjusted_Prices!AH71/Raw_Adjusted_Prices!AH70-1</f>
        <v/>
      </c>
      <c r="AI67" s="32">
        <f>Raw_Adjusted_Prices!AI71/Raw_Adjusted_Prices!AI70-1</f>
        <v/>
      </c>
      <c r="AJ67" s="32">
        <f>Raw_Adjusted_Prices!AJ71/Raw_Adjusted_Prices!AJ70-1</f>
        <v/>
      </c>
      <c r="AK67" s="32">
        <f>Raw_Adjusted_Prices!AK71/Raw_Adjusted_Prices!AK70-1</f>
        <v/>
      </c>
      <c r="AL67" s="32">
        <f>Raw_Adjusted_Prices!AL71/Raw_Adjusted_Prices!AL70-1</f>
        <v/>
      </c>
      <c r="AM67" s="32">
        <f>Raw_Adjusted_Prices!AM71/Raw_Adjusted_Prices!AM70-1</f>
        <v/>
      </c>
      <c r="AN67" s="32">
        <f>Raw_Adjusted_Prices!AN71/Raw_Adjusted_Prices!AN70-1</f>
        <v/>
      </c>
    </row>
    <row r="68">
      <c r="A68" s="31" t="inlineStr">
        <is>
          <t>2020-07-01</t>
        </is>
      </c>
      <c r="B68" s="32">
        <f>Raw_Adjusted_Prices!B72/Raw_Adjusted_Prices!B71-1</f>
        <v/>
      </c>
      <c r="C68" s="32">
        <f>Raw_Adjusted_Prices!C72/Raw_Adjusted_Prices!C71-1</f>
        <v/>
      </c>
      <c r="D68" s="32">
        <f>Raw_Adjusted_Prices!D72/Raw_Adjusted_Prices!D71-1</f>
        <v/>
      </c>
      <c r="E68" s="32">
        <f>Raw_Adjusted_Prices!E72/Raw_Adjusted_Prices!E71-1</f>
        <v/>
      </c>
      <c r="F68" s="32">
        <f>Raw_Adjusted_Prices!F72/Raw_Adjusted_Prices!F71-1</f>
        <v/>
      </c>
      <c r="G68" s="32">
        <f>Raw_Adjusted_Prices!G72/Raw_Adjusted_Prices!G71-1</f>
        <v/>
      </c>
      <c r="H68" s="32">
        <f>Raw_Adjusted_Prices!H72/Raw_Adjusted_Prices!H71-1</f>
        <v/>
      </c>
      <c r="I68" s="32">
        <f>Raw_Adjusted_Prices!I72/Raw_Adjusted_Prices!I71-1</f>
        <v/>
      </c>
      <c r="J68" s="32">
        <f>Raw_Adjusted_Prices!J72/Raw_Adjusted_Prices!J71-1</f>
        <v/>
      </c>
      <c r="K68" s="32">
        <f>Raw_Adjusted_Prices!K72/Raw_Adjusted_Prices!K71-1</f>
        <v/>
      </c>
      <c r="L68" s="32">
        <f>Raw_Adjusted_Prices!L72/Raw_Adjusted_Prices!L71-1</f>
        <v/>
      </c>
      <c r="M68" s="32">
        <f>Raw_Adjusted_Prices!M72/Raw_Adjusted_Prices!M71-1</f>
        <v/>
      </c>
      <c r="N68" s="32">
        <f>Raw_Adjusted_Prices!N72/Raw_Adjusted_Prices!N71-1</f>
        <v/>
      </c>
      <c r="O68" s="32">
        <f>Raw_Adjusted_Prices!O72/Raw_Adjusted_Prices!O71-1</f>
        <v/>
      </c>
      <c r="P68" s="32">
        <f>Raw_Adjusted_Prices!P72/Raw_Adjusted_Prices!P71-1</f>
        <v/>
      </c>
      <c r="Q68" s="32">
        <f>Raw_Adjusted_Prices!Q72/Raw_Adjusted_Prices!Q71-1</f>
        <v/>
      </c>
      <c r="R68" s="32">
        <f>Raw_Adjusted_Prices!R72/Raw_Adjusted_Prices!R71-1</f>
        <v/>
      </c>
      <c r="S68" s="32">
        <f>Raw_Adjusted_Prices!S72/Raw_Adjusted_Prices!S71-1</f>
        <v/>
      </c>
      <c r="T68" s="32">
        <f>Raw_Adjusted_Prices!T72/Raw_Adjusted_Prices!T71-1</f>
        <v/>
      </c>
      <c r="U68" s="32">
        <f>Raw_Adjusted_Prices!U72/Raw_Adjusted_Prices!U71-1</f>
        <v/>
      </c>
      <c r="V68" s="32">
        <f>Raw_Adjusted_Prices!V72/Raw_Adjusted_Prices!V71-1</f>
        <v/>
      </c>
      <c r="W68" s="32">
        <f>Raw_Adjusted_Prices!W72/Raw_Adjusted_Prices!W71-1</f>
        <v/>
      </c>
      <c r="X68" s="32">
        <f>Raw_Adjusted_Prices!X72/Raw_Adjusted_Prices!X71-1</f>
        <v/>
      </c>
      <c r="Y68" s="32">
        <f>Raw_Adjusted_Prices!Y72/Raw_Adjusted_Prices!Y71-1</f>
        <v/>
      </c>
      <c r="Z68" s="32">
        <f>Raw_Adjusted_Prices!Z72/Raw_Adjusted_Prices!Z71-1</f>
        <v/>
      </c>
      <c r="AA68" s="32">
        <f>Raw_Adjusted_Prices!AA72/Raw_Adjusted_Prices!AA71-1</f>
        <v/>
      </c>
      <c r="AB68" s="32">
        <f>Raw_Adjusted_Prices!AB72/Raw_Adjusted_Prices!AB71-1</f>
        <v/>
      </c>
      <c r="AC68" s="32">
        <f>Raw_Adjusted_Prices!AC72/Raw_Adjusted_Prices!AC71-1</f>
        <v/>
      </c>
      <c r="AD68" s="32">
        <f>Raw_Adjusted_Prices!AD72/Raw_Adjusted_Prices!AD71-1</f>
        <v/>
      </c>
      <c r="AE68" s="32">
        <f>Raw_Adjusted_Prices!AE72/Raw_Adjusted_Prices!AE71-1</f>
        <v/>
      </c>
      <c r="AF68" s="32">
        <f>Raw_Adjusted_Prices!AF72/Raw_Adjusted_Prices!AF71-1</f>
        <v/>
      </c>
      <c r="AG68" s="32">
        <f>Raw_Adjusted_Prices!AG72/Raw_Adjusted_Prices!AG71-1</f>
        <v/>
      </c>
      <c r="AH68" s="32">
        <f>Raw_Adjusted_Prices!AH72/Raw_Adjusted_Prices!AH71-1</f>
        <v/>
      </c>
      <c r="AI68" s="32">
        <f>Raw_Adjusted_Prices!AI72/Raw_Adjusted_Prices!AI71-1</f>
        <v/>
      </c>
      <c r="AJ68" s="32">
        <f>Raw_Adjusted_Prices!AJ72/Raw_Adjusted_Prices!AJ71-1</f>
        <v/>
      </c>
      <c r="AK68" s="32">
        <f>Raw_Adjusted_Prices!AK72/Raw_Adjusted_Prices!AK71-1</f>
        <v/>
      </c>
      <c r="AL68" s="32">
        <f>Raw_Adjusted_Prices!AL72/Raw_Adjusted_Prices!AL71-1</f>
        <v/>
      </c>
      <c r="AM68" s="32">
        <f>Raw_Adjusted_Prices!AM72/Raw_Adjusted_Prices!AM71-1</f>
        <v/>
      </c>
      <c r="AN68" s="32">
        <f>Raw_Adjusted_Prices!AN72/Raw_Adjusted_Prices!AN71-1</f>
        <v/>
      </c>
    </row>
    <row r="69">
      <c r="A69" s="31" t="inlineStr">
        <is>
          <t>2020-08-01</t>
        </is>
      </c>
      <c r="B69" s="32">
        <f>Raw_Adjusted_Prices!B73/Raw_Adjusted_Prices!B72-1</f>
        <v/>
      </c>
      <c r="C69" s="32">
        <f>Raw_Adjusted_Prices!C73/Raw_Adjusted_Prices!C72-1</f>
        <v/>
      </c>
      <c r="D69" s="32">
        <f>Raw_Adjusted_Prices!D73/Raw_Adjusted_Prices!D72-1</f>
        <v/>
      </c>
      <c r="E69" s="32">
        <f>Raw_Adjusted_Prices!E73/Raw_Adjusted_Prices!E72-1</f>
        <v/>
      </c>
      <c r="F69" s="32">
        <f>Raw_Adjusted_Prices!F73/Raw_Adjusted_Prices!F72-1</f>
        <v/>
      </c>
      <c r="G69" s="32">
        <f>Raw_Adjusted_Prices!G73/Raw_Adjusted_Prices!G72-1</f>
        <v/>
      </c>
      <c r="H69" s="32">
        <f>Raw_Adjusted_Prices!H73/Raw_Adjusted_Prices!H72-1</f>
        <v/>
      </c>
      <c r="I69" s="32">
        <f>Raw_Adjusted_Prices!I73/Raw_Adjusted_Prices!I72-1</f>
        <v/>
      </c>
      <c r="J69" s="32">
        <f>Raw_Adjusted_Prices!J73/Raw_Adjusted_Prices!J72-1</f>
        <v/>
      </c>
      <c r="K69" s="32">
        <f>Raw_Adjusted_Prices!K73/Raw_Adjusted_Prices!K72-1</f>
        <v/>
      </c>
      <c r="L69" s="32">
        <f>Raw_Adjusted_Prices!L73/Raw_Adjusted_Prices!L72-1</f>
        <v/>
      </c>
      <c r="M69" s="32">
        <f>Raw_Adjusted_Prices!M73/Raw_Adjusted_Prices!M72-1</f>
        <v/>
      </c>
      <c r="N69" s="32">
        <f>Raw_Adjusted_Prices!N73/Raw_Adjusted_Prices!N72-1</f>
        <v/>
      </c>
      <c r="O69" s="32">
        <f>Raw_Adjusted_Prices!O73/Raw_Adjusted_Prices!O72-1</f>
        <v/>
      </c>
      <c r="P69" s="32">
        <f>Raw_Adjusted_Prices!P73/Raw_Adjusted_Prices!P72-1</f>
        <v/>
      </c>
      <c r="Q69" s="32">
        <f>Raw_Adjusted_Prices!Q73/Raw_Adjusted_Prices!Q72-1</f>
        <v/>
      </c>
      <c r="R69" s="32">
        <f>Raw_Adjusted_Prices!R73/Raw_Adjusted_Prices!R72-1</f>
        <v/>
      </c>
      <c r="S69" s="32">
        <f>Raw_Adjusted_Prices!S73/Raw_Adjusted_Prices!S72-1</f>
        <v/>
      </c>
      <c r="T69" s="32">
        <f>Raw_Adjusted_Prices!T73/Raw_Adjusted_Prices!T72-1</f>
        <v/>
      </c>
      <c r="U69" s="32">
        <f>Raw_Adjusted_Prices!U73/Raw_Adjusted_Prices!U72-1</f>
        <v/>
      </c>
      <c r="V69" s="32">
        <f>Raw_Adjusted_Prices!V73/Raw_Adjusted_Prices!V72-1</f>
        <v/>
      </c>
      <c r="W69" s="32">
        <f>Raw_Adjusted_Prices!W73/Raw_Adjusted_Prices!W72-1</f>
        <v/>
      </c>
      <c r="X69" s="32">
        <f>Raw_Adjusted_Prices!X73/Raw_Adjusted_Prices!X72-1</f>
        <v/>
      </c>
      <c r="Y69" s="32">
        <f>Raw_Adjusted_Prices!Y73/Raw_Adjusted_Prices!Y72-1</f>
        <v/>
      </c>
      <c r="Z69" s="32">
        <f>Raw_Adjusted_Prices!Z73/Raw_Adjusted_Prices!Z72-1</f>
        <v/>
      </c>
      <c r="AA69" s="32">
        <f>Raw_Adjusted_Prices!AA73/Raw_Adjusted_Prices!AA72-1</f>
        <v/>
      </c>
      <c r="AB69" s="32">
        <f>Raw_Adjusted_Prices!AB73/Raw_Adjusted_Prices!AB72-1</f>
        <v/>
      </c>
      <c r="AC69" s="32">
        <f>Raw_Adjusted_Prices!AC73/Raw_Adjusted_Prices!AC72-1</f>
        <v/>
      </c>
      <c r="AD69" s="32">
        <f>Raw_Adjusted_Prices!AD73/Raw_Adjusted_Prices!AD72-1</f>
        <v/>
      </c>
      <c r="AE69" s="32">
        <f>Raw_Adjusted_Prices!AE73/Raw_Adjusted_Prices!AE72-1</f>
        <v/>
      </c>
      <c r="AF69" s="32">
        <f>Raw_Adjusted_Prices!AF73/Raw_Adjusted_Prices!AF72-1</f>
        <v/>
      </c>
      <c r="AG69" s="32">
        <f>Raw_Adjusted_Prices!AG73/Raw_Adjusted_Prices!AG72-1</f>
        <v/>
      </c>
      <c r="AH69" s="32">
        <f>Raw_Adjusted_Prices!AH73/Raw_Adjusted_Prices!AH72-1</f>
        <v/>
      </c>
      <c r="AI69" s="32">
        <f>Raw_Adjusted_Prices!AI73/Raw_Adjusted_Prices!AI72-1</f>
        <v/>
      </c>
      <c r="AJ69" s="32">
        <f>Raw_Adjusted_Prices!AJ73/Raw_Adjusted_Prices!AJ72-1</f>
        <v/>
      </c>
      <c r="AK69" s="32">
        <f>Raw_Adjusted_Prices!AK73/Raw_Adjusted_Prices!AK72-1</f>
        <v/>
      </c>
      <c r="AL69" s="32">
        <f>Raw_Adjusted_Prices!AL73/Raw_Adjusted_Prices!AL72-1</f>
        <v/>
      </c>
      <c r="AM69" s="32">
        <f>Raw_Adjusted_Prices!AM73/Raw_Adjusted_Prices!AM72-1</f>
        <v/>
      </c>
      <c r="AN69" s="32">
        <f>Raw_Adjusted_Prices!AN73/Raw_Adjusted_Prices!AN72-1</f>
        <v/>
      </c>
    </row>
    <row r="70">
      <c r="A70" s="31" t="inlineStr">
        <is>
          <t>2020-09-01</t>
        </is>
      </c>
      <c r="B70" s="32">
        <f>Raw_Adjusted_Prices!B74/Raw_Adjusted_Prices!B73-1</f>
        <v/>
      </c>
      <c r="C70" s="32">
        <f>Raw_Adjusted_Prices!C74/Raw_Adjusted_Prices!C73-1</f>
        <v/>
      </c>
      <c r="D70" s="32">
        <f>Raw_Adjusted_Prices!D74/Raw_Adjusted_Prices!D73-1</f>
        <v/>
      </c>
      <c r="E70" s="32">
        <f>Raw_Adjusted_Prices!E74/Raw_Adjusted_Prices!E73-1</f>
        <v/>
      </c>
      <c r="F70" s="32">
        <f>Raw_Adjusted_Prices!F74/Raw_Adjusted_Prices!F73-1</f>
        <v/>
      </c>
      <c r="G70" s="32">
        <f>Raw_Adjusted_Prices!G74/Raw_Adjusted_Prices!G73-1</f>
        <v/>
      </c>
      <c r="H70" s="32">
        <f>Raw_Adjusted_Prices!H74/Raw_Adjusted_Prices!H73-1</f>
        <v/>
      </c>
      <c r="I70" s="32">
        <f>Raw_Adjusted_Prices!I74/Raw_Adjusted_Prices!I73-1</f>
        <v/>
      </c>
      <c r="J70" s="32">
        <f>Raw_Adjusted_Prices!J74/Raw_Adjusted_Prices!J73-1</f>
        <v/>
      </c>
      <c r="K70" s="32">
        <f>Raw_Adjusted_Prices!K74/Raw_Adjusted_Prices!K73-1</f>
        <v/>
      </c>
      <c r="L70" s="32">
        <f>Raw_Adjusted_Prices!L74/Raw_Adjusted_Prices!L73-1</f>
        <v/>
      </c>
      <c r="M70" s="32">
        <f>Raw_Adjusted_Prices!M74/Raw_Adjusted_Prices!M73-1</f>
        <v/>
      </c>
      <c r="N70" s="32">
        <f>Raw_Adjusted_Prices!N74/Raw_Adjusted_Prices!N73-1</f>
        <v/>
      </c>
      <c r="O70" s="32">
        <f>Raw_Adjusted_Prices!O74/Raw_Adjusted_Prices!O73-1</f>
        <v/>
      </c>
      <c r="P70" s="32">
        <f>Raw_Adjusted_Prices!P74/Raw_Adjusted_Prices!P73-1</f>
        <v/>
      </c>
      <c r="Q70" s="32">
        <f>Raw_Adjusted_Prices!Q74/Raw_Adjusted_Prices!Q73-1</f>
        <v/>
      </c>
      <c r="R70" s="32">
        <f>Raw_Adjusted_Prices!R74/Raw_Adjusted_Prices!R73-1</f>
        <v/>
      </c>
      <c r="S70" s="32">
        <f>Raw_Adjusted_Prices!S74/Raw_Adjusted_Prices!S73-1</f>
        <v/>
      </c>
      <c r="T70" s="32">
        <f>Raw_Adjusted_Prices!T74/Raw_Adjusted_Prices!T73-1</f>
        <v/>
      </c>
      <c r="U70" s="32">
        <f>Raw_Adjusted_Prices!U74/Raw_Adjusted_Prices!U73-1</f>
        <v/>
      </c>
      <c r="V70" s="32">
        <f>Raw_Adjusted_Prices!V74/Raw_Adjusted_Prices!V73-1</f>
        <v/>
      </c>
      <c r="W70" s="32">
        <f>Raw_Adjusted_Prices!W74/Raw_Adjusted_Prices!W73-1</f>
        <v/>
      </c>
      <c r="X70" s="32">
        <f>Raw_Adjusted_Prices!X74/Raw_Adjusted_Prices!X73-1</f>
        <v/>
      </c>
      <c r="Y70" s="32">
        <f>Raw_Adjusted_Prices!Y74/Raw_Adjusted_Prices!Y73-1</f>
        <v/>
      </c>
      <c r="Z70" s="32">
        <f>Raw_Adjusted_Prices!Z74/Raw_Adjusted_Prices!Z73-1</f>
        <v/>
      </c>
      <c r="AA70" s="32">
        <f>Raw_Adjusted_Prices!AA74/Raw_Adjusted_Prices!AA73-1</f>
        <v/>
      </c>
      <c r="AB70" s="32">
        <f>Raw_Adjusted_Prices!AB74/Raw_Adjusted_Prices!AB73-1</f>
        <v/>
      </c>
      <c r="AC70" s="32">
        <f>Raw_Adjusted_Prices!AC74/Raw_Adjusted_Prices!AC73-1</f>
        <v/>
      </c>
      <c r="AD70" s="32">
        <f>Raw_Adjusted_Prices!AD74/Raw_Adjusted_Prices!AD73-1</f>
        <v/>
      </c>
      <c r="AE70" s="32">
        <f>Raw_Adjusted_Prices!AE74/Raw_Adjusted_Prices!AE73-1</f>
        <v/>
      </c>
      <c r="AF70" s="32">
        <f>Raw_Adjusted_Prices!AF74/Raw_Adjusted_Prices!AF73-1</f>
        <v/>
      </c>
      <c r="AG70" s="32">
        <f>Raw_Adjusted_Prices!AG74/Raw_Adjusted_Prices!AG73-1</f>
        <v/>
      </c>
      <c r="AH70" s="32">
        <f>Raw_Adjusted_Prices!AH74/Raw_Adjusted_Prices!AH73-1</f>
        <v/>
      </c>
      <c r="AI70" s="32">
        <f>Raw_Adjusted_Prices!AI74/Raw_Adjusted_Prices!AI73-1</f>
        <v/>
      </c>
      <c r="AJ70" s="32">
        <f>Raw_Adjusted_Prices!AJ74/Raw_Adjusted_Prices!AJ73-1</f>
        <v/>
      </c>
      <c r="AK70" s="32">
        <f>Raw_Adjusted_Prices!AK74/Raw_Adjusted_Prices!AK73-1</f>
        <v/>
      </c>
      <c r="AL70" s="32">
        <f>Raw_Adjusted_Prices!AL74/Raw_Adjusted_Prices!AL73-1</f>
        <v/>
      </c>
      <c r="AM70" s="32">
        <f>Raw_Adjusted_Prices!AM74/Raw_Adjusted_Prices!AM73-1</f>
        <v/>
      </c>
      <c r="AN70" s="32">
        <f>Raw_Adjusted_Prices!AN74/Raw_Adjusted_Prices!AN73-1</f>
        <v/>
      </c>
    </row>
    <row r="71">
      <c r="A71" s="31" t="inlineStr">
        <is>
          <t>2020-10-01</t>
        </is>
      </c>
      <c r="B71" s="32">
        <f>Raw_Adjusted_Prices!B75/Raw_Adjusted_Prices!B74-1</f>
        <v/>
      </c>
      <c r="C71" s="32">
        <f>Raw_Adjusted_Prices!C75/Raw_Adjusted_Prices!C74-1</f>
        <v/>
      </c>
      <c r="D71" s="32">
        <f>Raw_Adjusted_Prices!D75/Raw_Adjusted_Prices!D74-1</f>
        <v/>
      </c>
      <c r="E71" s="32">
        <f>Raw_Adjusted_Prices!E75/Raw_Adjusted_Prices!E74-1</f>
        <v/>
      </c>
      <c r="F71" s="32">
        <f>Raw_Adjusted_Prices!F75/Raw_Adjusted_Prices!F74-1</f>
        <v/>
      </c>
      <c r="G71" s="32">
        <f>Raw_Adjusted_Prices!G75/Raw_Adjusted_Prices!G74-1</f>
        <v/>
      </c>
      <c r="H71" s="32">
        <f>Raw_Adjusted_Prices!H75/Raw_Adjusted_Prices!H74-1</f>
        <v/>
      </c>
      <c r="I71" s="32">
        <f>Raw_Adjusted_Prices!I75/Raw_Adjusted_Prices!I74-1</f>
        <v/>
      </c>
      <c r="J71" s="32">
        <f>Raw_Adjusted_Prices!J75/Raw_Adjusted_Prices!J74-1</f>
        <v/>
      </c>
      <c r="K71" s="32">
        <f>Raw_Adjusted_Prices!K75/Raw_Adjusted_Prices!K74-1</f>
        <v/>
      </c>
      <c r="L71" s="32">
        <f>Raw_Adjusted_Prices!L75/Raw_Adjusted_Prices!L74-1</f>
        <v/>
      </c>
      <c r="M71" s="32">
        <f>Raw_Adjusted_Prices!M75/Raw_Adjusted_Prices!M74-1</f>
        <v/>
      </c>
      <c r="N71" s="32">
        <f>Raw_Adjusted_Prices!N75/Raw_Adjusted_Prices!N74-1</f>
        <v/>
      </c>
      <c r="O71" s="32">
        <f>Raw_Adjusted_Prices!O75/Raw_Adjusted_Prices!O74-1</f>
        <v/>
      </c>
      <c r="P71" s="32">
        <f>Raw_Adjusted_Prices!P75/Raw_Adjusted_Prices!P74-1</f>
        <v/>
      </c>
      <c r="Q71" s="32">
        <f>Raw_Adjusted_Prices!Q75/Raw_Adjusted_Prices!Q74-1</f>
        <v/>
      </c>
      <c r="R71" s="32">
        <f>Raw_Adjusted_Prices!R75/Raw_Adjusted_Prices!R74-1</f>
        <v/>
      </c>
      <c r="S71" s="32">
        <f>Raw_Adjusted_Prices!S75/Raw_Adjusted_Prices!S74-1</f>
        <v/>
      </c>
      <c r="T71" s="32">
        <f>Raw_Adjusted_Prices!T75/Raw_Adjusted_Prices!T74-1</f>
        <v/>
      </c>
      <c r="U71" s="32">
        <f>Raw_Adjusted_Prices!U75/Raw_Adjusted_Prices!U74-1</f>
        <v/>
      </c>
      <c r="V71" s="32">
        <f>Raw_Adjusted_Prices!V75/Raw_Adjusted_Prices!V74-1</f>
        <v/>
      </c>
      <c r="W71" s="32">
        <f>Raw_Adjusted_Prices!W75/Raw_Adjusted_Prices!W74-1</f>
        <v/>
      </c>
      <c r="X71" s="32">
        <f>Raw_Adjusted_Prices!X75/Raw_Adjusted_Prices!X74-1</f>
        <v/>
      </c>
      <c r="Y71" s="32">
        <f>Raw_Adjusted_Prices!Y75/Raw_Adjusted_Prices!Y74-1</f>
        <v/>
      </c>
      <c r="Z71" s="32">
        <f>Raw_Adjusted_Prices!Z75/Raw_Adjusted_Prices!Z74-1</f>
        <v/>
      </c>
      <c r="AA71" s="32">
        <f>Raw_Adjusted_Prices!AA75/Raw_Adjusted_Prices!AA74-1</f>
        <v/>
      </c>
      <c r="AB71" s="32">
        <f>Raw_Adjusted_Prices!AB75/Raw_Adjusted_Prices!AB74-1</f>
        <v/>
      </c>
      <c r="AC71" s="32">
        <f>Raw_Adjusted_Prices!AC75/Raw_Adjusted_Prices!AC74-1</f>
        <v/>
      </c>
      <c r="AD71" s="32">
        <f>Raw_Adjusted_Prices!AD75/Raw_Adjusted_Prices!AD74-1</f>
        <v/>
      </c>
      <c r="AE71" s="32">
        <f>Raw_Adjusted_Prices!AE75/Raw_Adjusted_Prices!AE74-1</f>
        <v/>
      </c>
      <c r="AF71" s="32">
        <f>Raw_Adjusted_Prices!AF75/Raw_Adjusted_Prices!AF74-1</f>
        <v/>
      </c>
      <c r="AG71" s="32">
        <f>Raw_Adjusted_Prices!AG75/Raw_Adjusted_Prices!AG74-1</f>
        <v/>
      </c>
      <c r="AH71" s="32">
        <f>Raw_Adjusted_Prices!AH75/Raw_Adjusted_Prices!AH74-1</f>
        <v/>
      </c>
      <c r="AI71" s="32">
        <f>Raw_Adjusted_Prices!AI75/Raw_Adjusted_Prices!AI74-1</f>
        <v/>
      </c>
      <c r="AJ71" s="32">
        <f>Raw_Adjusted_Prices!AJ75/Raw_Adjusted_Prices!AJ74-1</f>
        <v/>
      </c>
      <c r="AK71" s="32">
        <f>Raw_Adjusted_Prices!AK75/Raw_Adjusted_Prices!AK74-1</f>
        <v/>
      </c>
      <c r="AL71" s="32">
        <f>Raw_Adjusted_Prices!AL75/Raw_Adjusted_Prices!AL74-1</f>
        <v/>
      </c>
      <c r="AM71" s="32">
        <f>Raw_Adjusted_Prices!AM75/Raw_Adjusted_Prices!AM74-1</f>
        <v/>
      </c>
      <c r="AN71" s="32">
        <f>Raw_Adjusted_Prices!AN75/Raw_Adjusted_Prices!AN74-1</f>
        <v/>
      </c>
    </row>
    <row r="72">
      <c r="A72" s="31" t="inlineStr">
        <is>
          <t>2020-11-01</t>
        </is>
      </c>
      <c r="B72" s="32">
        <f>Raw_Adjusted_Prices!B76/Raw_Adjusted_Prices!B75-1</f>
        <v/>
      </c>
      <c r="C72" s="32">
        <f>Raw_Adjusted_Prices!C76/Raw_Adjusted_Prices!C75-1</f>
        <v/>
      </c>
      <c r="D72" s="32">
        <f>Raw_Adjusted_Prices!D76/Raw_Adjusted_Prices!D75-1</f>
        <v/>
      </c>
      <c r="E72" s="32">
        <f>Raw_Adjusted_Prices!E76/Raw_Adjusted_Prices!E75-1</f>
        <v/>
      </c>
      <c r="F72" s="32">
        <f>Raw_Adjusted_Prices!F76/Raw_Adjusted_Prices!F75-1</f>
        <v/>
      </c>
      <c r="G72" s="32">
        <f>Raw_Adjusted_Prices!G76/Raw_Adjusted_Prices!G75-1</f>
        <v/>
      </c>
      <c r="H72" s="32">
        <f>Raw_Adjusted_Prices!H76/Raw_Adjusted_Prices!H75-1</f>
        <v/>
      </c>
      <c r="I72" s="32">
        <f>Raw_Adjusted_Prices!I76/Raw_Adjusted_Prices!I75-1</f>
        <v/>
      </c>
      <c r="J72" s="32">
        <f>Raw_Adjusted_Prices!J76/Raw_Adjusted_Prices!J75-1</f>
        <v/>
      </c>
      <c r="K72" s="32">
        <f>Raw_Adjusted_Prices!K76/Raw_Adjusted_Prices!K75-1</f>
        <v/>
      </c>
      <c r="L72" s="32">
        <f>Raw_Adjusted_Prices!L76/Raw_Adjusted_Prices!L75-1</f>
        <v/>
      </c>
      <c r="M72" s="32">
        <f>Raw_Adjusted_Prices!M76/Raw_Adjusted_Prices!M75-1</f>
        <v/>
      </c>
      <c r="N72" s="32">
        <f>Raw_Adjusted_Prices!N76/Raw_Adjusted_Prices!N75-1</f>
        <v/>
      </c>
      <c r="O72" s="32">
        <f>Raw_Adjusted_Prices!O76/Raw_Adjusted_Prices!O75-1</f>
        <v/>
      </c>
      <c r="P72" s="32">
        <f>Raw_Adjusted_Prices!P76/Raw_Adjusted_Prices!P75-1</f>
        <v/>
      </c>
      <c r="Q72" s="32">
        <f>Raw_Adjusted_Prices!Q76/Raw_Adjusted_Prices!Q75-1</f>
        <v/>
      </c>
      <c r="R72" s="32">
        <f>Raw_Adjusted_Prices!R76/Raw_Adjusted_Prices!R75-1</f>
        <v/>
      </c>
      <c r="S72" s="32">
        <f>Raw_Adjusted_Prices!S76/Raw_Adjusted_Prices!S75-1</f>
        <v/>
      </c>
      <c r="T72" s="32">
        <f>Raw_Adjusted_Prices!T76/Raw_Adjusted_Prices!T75-1</f>
        <v/>
      </c>
      <c r="U72" s="32">
        <f>Raw_Adjusted_Prices!U76/Raw_Adjusted_Prices!U75-1</f>
        <v/>
      </c>
      <c r="V72" s="32">
        <f>Raw_Adjusted_Prices!V76/Raw_Adjusted_Prices!V75-1</f>
        <v/>
      </c>
      <c r="W72" s="32">
        <f>Raw_Adjusted_Prices!W76/Raw_Adjusted_Prices!W75-1</f>
        <v/>
      </c>
      <c r="X72" s="32">
        <f>Raw_Adjusted_Prices!X76/Raw_Adjusted_Prices!X75-1</f>
        <v/>
      </c>
      <c r="Y72" s="32">
        <f>Raw_Adjusted_Prices!Y76/Raw_Adjusted_Prices!Y75-1</f>
        <v/>
      </c>
      <c r="Z72" s="32">
        <f>Raw_Adjusted_Prices!Z76/Raw_Adjusted_Prices!Z75-1</f>
        <v/>
      </c>
      <c r="AA72" s="32">
        <f>Raw_Adjusted_Prices!AA76/Raw_Adjusted_Prices!AA75-1</f>
        <v/>
      </c>
      <c r="AB72" s="32">
        <f>Raw_Adjusted_Prices!AB76/Raw_Adjusted_Prices!AB75-1</f>
        <v/>
      </c>
      <c r="AC72" s="32">
        <f>Raw_Adjusted_Prices!AC76/Raw_Adjusted_Prices!AC75-1</f>
        <v/>
      </c>
      <c r="AD72" s="32">
        <f>Raw_Adjusted_Prices!AD76/Raw_Adjusted_Prices!AD75-1</f>
        <v/>
      </c>
      <c r="AE72" s="32">
        <f>Raw_Adjusted_Prices!AE76/Raw_Adjusted_Prices!AE75-1</f>
        <v/>
      </c>
      <c r="AF72" s="32">
        <f>Raw_Adjusted_Prices!AF76/Raw_Adjusted_Prices!AF75-1</f>
        <v/>
      </c>
      <c r="AG72" s="32">
        <f>Raw_Adjusted_Prices!AG76/Raw_Adjusted_Prices!AG75-1</f>
        <v/>
      </c>
      <c r="AH72" s="32">
        <f>Raw_Adjusted_Prices!AH76/Raw_Adjusted_Prices!AH75-1</f>
        <v/>
      </c>
      <c r="AI72" s="32">
        <f>Raw_Adjusted_Prices!AI76/Raw_Adjusted_Prices!AI75-1</f>
        <v/>
      </c>
      <c r="AJ72" s="32">
        <f>Raw_Adjusted_Prices!AJ76/Raw_Adjusted_Prices!AJ75-1</f>
        <v/>
      </c>
      <c r="AK72" s="32">
        <f>Raw_Adjusted_Prices!AK76/Raw_Adjusted_Prices!AK75-1</f>
        <v/>
      </c>
      <c r="AL72" s="32">
        <f>Raw_Adjusted_Prices!AL76/Raw_Adjusted_Prices!AL75-1</f>
        <v/>
      </c>
      <c r="AM72" s="32">
        <f>Raw_Adjusted_Prices!AM76/Raw_Adjusted_Prices!AM75-1</f>
        <v/>
      </c>
      <c r="AN72" s="32">
        <f>Raw_Adjusted_Prices!AN76/Raw_Adjusted_Prices!AN75-1</f>
        <v/>
      </c>
    </row>
    <row r="73">
      <c r="A73" s="31" t="inlineStr">
        <is>
          <t>2020-12-01</t>
        </is>
      </c>
      <c r="B73" s="32">
        <f>Raw_Adjusted_Prices!B77/Raw_Adjusted_Prices!B76-1</f>
        <v/>
      </c>
      <c r="C73" s="32">
        <f>Raw_Adjusted_Prices!C77/Raw_Adjusted_Prices!C76-1</f>
        <v/>
      </c>
      <c r="D73" s="32">
        <f>Raw_Adjusted_Prices!D77/Raw_Adjusted_Prices!D76-1</f>
        <v/>
      </c>
      <c r="E73" s="32">
        <f>Raw_Adjusted_Prices!E77/Raw_Adjusted_Prices!E76-1</f>
        <v/>
      </c>
      <c r="F73" s="32">
        <f>Raw_Adjusted_Prices!F77/Raw_Adjusted_Prices!F76-1</f>
        <v/>
      </c>
      <c r="G73" s="32">
        <f>Raw_Adjusted_Prices!G77/Raw_Adjusted_Prices!G76-1</f>
        <v/>
      </c>
      <c r="H73" s="32">
        <f>Raw_Adjusted_Prices!H77/Raw_Adjusted_Prices!H76-1</f>
        <v/>
      </c>
      <c r="I73" s="32">
        <f>Raw_Adjusted_Prices!I77/Raw_Adjusted_Prices!I76-1</f>
        <v/>
      </c>
      <c r="J73" s="32">
        <f>Raw_Adjusted_Prices!J77/Raw_Adjusted_Prices!J76-1</f>
        <v/>
      </c>
      <c r="K73" s="32">
        <f>Raw_Adjusted_Prices!K77/Raw_Adjusted_Prices!K76-1</f>
        <v/>
      </c>
      <c r="L73" s="32">
        <f>Raw_Adjusted_Prices!L77/Raw_Adjusted_Prices!L76-1</f>
        <v/>
      </c>
      <c r="M73" s="32">
        <f>Raw_Adjusted_Prices!M77/Raw_Adjusted_Prices!M76-1</f>
        <v/>
      </c>
      <c r="N73" s="32">
        <f>Raw_Adjusted_Prices!N77/Raw_Adjusted_Prices!N76-1</f>
        <v/>
      </c>
      <c r="O73" s="32">
        <f>Raw_Adjusted_Prices!O77/Raw_Adjusted_Prices!O76-1</f>
        <v/>
      </c>
      <c r="P73" s="32">
        <f>Raw_Adjusted_Prices!P77/Raw_Adjusted_Prices!P76-1</f>
        <v/>
      </c>
      <c r="Q73" s="32">
        <f>Raw_Adjusted_Prices!Q77/Raw_Adjusted_Prices!Q76-1</f>
        <v/>
      </c>
      <c r="R73" s="32">
        <f>Raw_Adjusted_Prices!R77/Raw_Adjusted_Prices!R76-1</f>
        <v/>
      </c>
      <c r="S73" s="32">
        <f>Raw_Adjusted_Prices!S77/Raw_Adjusted_Prices!S76-1</f>
        <v/>
      </c>
      <c r="T73" s="32">
        <f>Raw_Adjusted_Prices!T77/Raw_Adjusted_Prices!T76-1</f>
        <v/>
      </c>
      <c r="U73" s="32">
        <f>Raw_Adjusted_Prices!U77/Raw_Adjusted_Prices!U76-1</f>
        <v/>
      </c>
      <c r="V73" s="32">
        <f>Raw_Adjusted_Prices!V77/Raw_Adjusted_Prices!V76-1</f>
        <v/>
      </c>
      <c r="W73" s="32">
        <f>Raw_Adjusted_Prices!W77/Raw_Adjusted_Prices!W76-1</f>
        <v/>
      </c>
      <c r="X73" s="32">
        <f>Raw_Adjusted_Prices!X77/Raw_Adjusted_Prices!X76-1</f>
        <v/>
      </c>
      <c r="Y73" s="32">
        <f>Raw_Adjusted_Prices!Y77/Raw_Adjusted_Prices!Y76-1</f>
        <v/>
      </c>
      <c r="Z73" s="32">
        <f>Raw_Adjusted_Prices!Z77/Raw_Adjusted_Prices!Z76-1</f>
        <v/>
      </c>
      <c r="AA73" s="32">
        <f>Raw_Adjusted_Prices!AA77/Raw_Adjusted_Prices!AA76-1</f>
        <v/>
      </c>
      <c r="AB73" s="32">
        <f>Raw_Adjusted_Prices!AB77/Raw_Adjusted_Prices!AB76-1</f>
        <v/>
      </c>
      <c r="AC73" s="32">
        <f>Raw_Adjusted_Prices!AC77/Raw_Adjusted_Prices!AC76-1</f>
        <v/>
      </c>
      <c r="AD73" s="32">
        <f>Raw_Adjusted_Prices!AD77/Raw_Adjusted_Prices!AD76-1</f>
        <v/>
      </c>
      <c r="AE73" s="32">
        <f>Raw_Adjusted_Prices!AE77/Raw_Adjusted_Prices!AE76-1</f>
        <v/>
      </c>
      <c r="AF73" s="32">
        <f>Raw_Adjusted_Prices!AF77/Raw_Adjusted_Prices!AF76-1</f>
        <v/>
      </c>
      <c r="AG73" s="32">
        <f>Raw_Adjusted_Prices!AG77/Raw_Adjusted_Prices!AG76-1</f>
        <v/>
      </c>
      <c r="AH73" s="32">
        <f>Raw_Adjusted_Prices!AH77/Raw_Adjusted_Prices!AH76-1</f>
        <v/>
      </c>
      <c r="AI73" s="32">
        <f>Raw_Adjusted_Prices!AI77/Raw_Adjusted_Prices!AI76-1</f>
        <v/>
      </c>
      <c r="AJ73" s="32">
        <f>Raw_Adjusted_Prices!AJ77/Raw_Adjusted_Prices!AJ76-1</f>
        <v/>
      </c>
      <c r="AK73" s="32">
        <f>Raw_Adjusted_Prices!AK77/Raw_Adjusted_Prices!AK76-1</f>
        <v/>
      </c>
      <c r="AL73" s="32">
        <f>Raw_Adjusted_Prices!AL77/Raw_Adjusted_Prices!AL76-1</f>
        <v/>
      </c>
      <c r="AM73" s="32">
        <f>Raw_Adjusted_Prices!AM77/Raw_Adjusted_Prices!AM76-1</f>
        <v/>
      </c>
      <c r="AN73" s="32">
        <f>Raw_Adjusted_Prices!AN77/Raw_Adjusted_Prices!AN76-1</f>
        <v/>
      </c>
    </row>
    <row r="74">
      <c r="A74" s="31" t="inlineStr">
        <is>
          <t>2021-01-01</t>
        </is>
      </c>
      <c r="B74" s="32">
        <f>Raw_Adjusted_Prices!B78/Raw_Adjusted_Prices!B77-1</f>
        <v/>
      </c>
      <c r="C74" s="32">
        <f>Raw_Adjusted_Prices!C78/Raw_Adjusted_Prices!C77-1</f>
        <v/>
      </c>
      <c r="D74" s="32">
        <f>Raw_Adjusted_Prices!D78/Raw_Adjusted_Prices!D77-1</f>
        <v/>
      </c>
      <c r="E74" s="32">
        <f>Raw_Adjusted_Prices!E78/Raw_Adjusted_Prices!E77-1</f>
        <v/>
      </c>
      <c r="F74" s="32">
        <f>Raw_Adjusted_Prices!F78/Raw_Adjusted_Prices!F77-1</f>
        <v/>
      </c>
      <c r="G74" s="32">
        <f>Raw_Adjusted_Prices!G78/Raw_Adjusted_Prices!G77-1</f>
        <v/>
      </c>
      <c r="H74" s="32">
        <f>Raw_Adjusted_Prices!H78/Raw_Adjusted_Prices!H77-1</f>
        <v/>
      </c>
      <c r="I74" s="32">
        <f>Raw_Adjusted_Prices!I78/Raw_Adjusted_Prices!I77-1</f>
        <v/>
      </c>
      <c r="J74" s="32">
        <f>Raw_Adjusted_Prices!J78/Raw_Adjusted_Prices!J77-1</f>
        <v/>
      </c>
      <c r="K74" s="32">
        <f>Raw_Adjusted_Prices!K78/Raw_Adjusted_Prices!K77-1</f>
        <v/>
      </c>
      <c r="L74" s="32">
        <f>Raw_Adjusted_Prices!L78/Raw_Adjusted_Prices!L77-1</f>
        <v/>
      </c>
      <c r="M74" s="32">
        <f>Raw_Adjusted_Prices!M78/Raw_Adjusted_Prices!M77-1</f>
        <v/>
      </c>
      <c r="N74" s="32">
        <f>Raw_Adjusted_Prices!N78/Raw_Adjusted_Prices!N77-1</f>
        <v/>
      </c>
      <c r="O74" s="32">
        <f>Raw_Adjusted_Prices!O78/Raw_Adjusted_Prices!O77-1</f>
        <v/>
      </c>
      <c r="P74" s="32">
        <f>Raw_Adjusted_Prices!P78/Raw_Adjusted_Prices!P77-1</f>
        <v/>
      </c>
      <c r="Q74" s="32">
        <f>Raw_Adjusted_Prices!Q78/Raw_Adjusted_Prices!Q77-1</f>
        <v/>
      </c>
      <c r="R74" s="32">
        <f>Raw_Adjusted_Prices!R78/Raw_Adjusted_Prices!R77-1</f>
        <v/>
      </c>
      <c r="S74" s="32">
        <f>Raw_Adjusted_Prices!S78/Raw_Adjusted_Prices!S77-1</f>
        <v/>
      </c>
      <c r="T74" s="32">
        <f>Raw_Adjusted_Prices!T78/Raw_Adjusted_Prices!T77-1</f>
        <v/>
      </c>
      <c r="U74" s="32">
        <f>Raw_Adjusted_Prices!U78/Raw_Adjusted_Prices!U77-1</f>
        <v/>
      </c>
      <c r="V74" s="32">
        <f>Raw_Adjusted_Prices!V78/Raw_Adjusted_Prices!V77-1</f>
        <v/>
      </c>
      <c r="W74" s="32">
        <f>Raw_Adjusted_Prices!W78/Raw_Adjusted_Prices!W77-1</f>
        <v/>
      </c>
      <c r="X74" s="32">
        <f>Raw_Adjusted_Prices!X78/Raw_Adjusted_Prices!X77-1</f>
        <v/>
      </c>
      <c r="Y74" s="32">
        <f>Raw_Adjusted_Prices!Y78/Raw_Adjusted_Prices!Y77-1</f>
        <v/>
      </c>
      <c r="Z74" s="32">
        <f>Raw_Adjusted_Prices!Z78/Raw_Adjusted_Prices!Z77-1</f>
        <v/>
      </c>
      <c r="AA74" s="32">
        <f>Raw_Adjusted_Prices!AA78/Raw_Adjusted_Prices!AA77-1</f>
        <v/>
      </c>
      <c r="AB74" s="32">
        <f>Raw_Adjusted_Prices!AB78/Raw_Adjusted_Prices!AB77-1</f>
        <v/>
      </c>
      <c r="AC74" s="32">
        <f>Raw_Adjusted_Prices!AC78/Raw_Adjusted_Prices!AC77-1</f>
        <v/>
      </c>
      <c r="AD74" s="32">
        <f>Raw_Adjusted_Prices!AD78/Raw_Adjusted_Prices!AD77-1</f>
        <v/>
      </c>
      <c r="AE74" s="32">
        <f>Raw_Adjusted_Prices!AE78/Raw_Adjusted_Prices!AE77-1</f>
        <v/>
      </c>
      <c r="AF74" s="32">
        <f>Raw_Adjusted_Prices!AF78/Raw_Adjusted_Prices!AF77-1</f>
        <v/>
      </c>
      <c r="AG74" s="32">
        <f>Raw_Adjusted_Prices!AG78/Raw_Adjusted_Prices!AG77-1</f>
        <v/>
      </c>
      <c r="AH74" s="32">
        <f>Raw_Adjusted_Prices!AH78/Raw_Adjusted_Prices!AH77-1</f>
        <v/>
      </c>
      <c r="AI74" s="32">
        <f>Raw_Adjusted_Prices!AI78/Raw_Adjusted_Prices!AI77-1</f>
        <v/>
      </c>
      <c r="AJ74" s="32">
        <f>Raw_Adjusted_Prices!AJ78/Raw_Adjusted_Prices!AJ77-1</f>
        <v/>
      </c>
      <c r="AK74" s="32">
        <f>Raw_Adjusted_Prices!AK78/Raw_Adjusted_Prices!AK77-1</f>
        <v/>
      </c>
      <c r="AL74" s="32">
        <f>Raw_Adjusted_Prices!AL78/Raw_Adjusted_Prices!AL77-1</f>
        <v/>
      </c>
      <c r="AM74" s="32">
        <f>Raw_Adjusted_Prices!AM78/Raw_Adjusted_Prices!AM77-1</f>
        <v/>
      </c>
      <c r="AN74" s="32">
        <f>Raw_Adjusted_Prices!AN78/Raw_Adjusted_Prices!AN77-1</f>
        <v/>
      </c>
    </row>
    <row r="75">
      <c r="A75" s="31" t="inlineStr">
        <is>
          <t>2021-02-01</t>
        </is>
      </c>
      <c r="B75" s="32">
        <f>Raw_Adjusted_Prices!B79/Raw_Adjusted_Prices!B78-1</f>
        <v/>
      </c>
      <c r="C75" s="32">
        <f>Raw_Adjusted_Prices!C79/Raw_Adjusted_Prices!C78-1</f>
        <v/>
      </c>
      <c r="D75" s="32">
        <f>Raw_Adjusted_Prices!D79/Raw_Adjusted_Prices!D78-1</f>
        <v/>
      </c>
      <c r="E75" s="32">
        <f>Raw_Adjusted_Prices!E79/Raw_Adjusted_Prices!E78-1</f>
        <v/>
      </c>
      <c r="F75" s="32">
        <f>Raw_Adjusted_Prices!F79/Raw_Adjusted_Prices!F78-1</f>
        <v/>
      </c>
      <c r="G75" s="32">
        <f>Raw_Adjusted_Prices!G79/Raw_Adjusted_Prices!G78-1</f>
        <v/>
      </c>
      <c r="H75" s="32">
        <f>Raw_Adjusted_Prices!H79/Raw_Adjusted_Prices!H78-1</f>
        <v/>
      </c>
      <c r="I75" s="32">
        <f>Raw_Adjusted_Prices!I79/Raw_Adjusted_Prices!I78-1</f>
        <v/>
      </c>
      <c r="J75" s="32">
        <f>Raw_Adjusted_Prices!J79/Raw_Adjusted_Prices!J78-1</f>
        <v/>
      </c>
      <c r="K75" s="32">
        <f>Raw_Adjusted_Prices!K79/Raw_Adjusted_Prices!K78-1</f>
        <v/>
      </c>
      <c r="L75" s="32">
        <f>Raw_Adjusted_Prices!L79/Raw_Adjusted_Prices!L78-1</f>
        <v/>
      </c>
      <c r="M75" s="32">
        <f>Raw_Adjusted_Prices!M79/Raw_Adjusted_Prices!M78-1</f>
        <v/>
      </c>
      <c r="N75" s="32">
        <f>Raw_Adjusted_Prices!N79/Raw_Adjusted_Prices!N78-1</f>
        <v/>
      </c>
      <c r="O75" s="32">
        <f>Raw_Adjusted_Prices!O79/Raw_Adjusted_Prices!O78-1</f>
        <v/>
      </c>
      <c r="P75" s="32">
        <f>Raw_Adjusted_Prices!P79/Raw_Adjusted_Prices!P78-1</f>
        <v/>
      </c>
      <c r="Q75" s="32">
        <f>Raw_Adjusted_Prices!Q79/Raw_Adjusted_Prices!Q78-1</f>
        <v/>
      </c>
      <c r="R75" s="32">
        <f>Raw_Adjusted_Prices!R79/Raw_Adjusted_Prices!R78-1</f>
        <v/>
      </c>
      <c r="S75" s="32">
        <f>Raw_Adjusted_Prices!S79/Raw_Adjusted_Prices!S78-1</f>
        <v/>
      </c>
      <c r="T75" s="32">
        <f>Raw_Adjusted_Prices!T79/Raw_Adjusted_Prices!T78-1</f>
        <v/>
      </c>
      <c r="U75" s="32">
        <f>Raw_Adjusted_Prices!U79/Raw_Adjusted_Prices!U78-1</f>
        <v/>
      </c>
      <c r="V75" s="32">
        <f>Raw_Adjusted_Prices!V79/Raw_Adjusted_Prices!V78-1</f>
        <v/>
      </c>
      <c r="W75" s="32">
        <f>Raw_Adjusted_Prices!W79/Raw_Adjusted_Prices!W78-1</f>
        <v/>
      </c>
      <c r="X75" s="32">
        <f>Raw_Adjusted_Prices!X79/Raw_Adjusted_Prices!X78-1</f>
        <v/>
      </c>
      <c r="Y75" s="32">
        <f>Raw_Adjusted_Prices!Y79/Raw_Adjusted_Prices!Y78-1</f>
        <v/>
      </c>
      <c r="Z75" s="32">
        <f>Raw_Adjusted_Prices!Z79/Raw_Adjusted_Prices!Z78-1</f>
        <v/>
      </c>
      <c r="AA75" s="32">
        <f>Raw_Adjusted_Prices!AA79/Raw_Adjusted_Prices!AA78-1</f>
        <v/>
      </c>
      <c r="AB75" s="32">
        <f>Raw_Adjusted_Prices!AB79/Raw_Adjusted_Prices!AB78-1</f>
        <v/>
      </c>
      <c r="AC75" s="32">
        <f>Raw_Adjusted_Prices!AC79/Raw_Adjusted_Prices!AC78-1</f>
        <v/>
      </c>
      <c r="AD75" s="32">
        <f>Raw_Adjusted_Prices!AD79/Raw_Adjusted_Prices!AD78-1</f>
        <v/>
      </c>
      <c r="AE75" s="32">
        <f>Raw_Adjusted_Prices!AE79/Raw_Adjusted_Prices!AE78-1</f>
        <v/>
      </c>
      <c r="AF75" s="32">
        <f>Raw_Adjusted_Prices!AF79/Raw_Adjusted_Prices!AF78-1</f>
        <v/>
      </c>
      <c r="AG75" s="32">
        <f>Raw_Adjusted_Prices!AG79/Raw_Adjusted_Prices!AG78-1</f>
        <v/>
      </c>
      <c r="AH75" s="32">
        <f>Raw_Adjusted_Prices!AH79/Raw_Adjusted_Prices!AH78-1</f>
        <v/>
      </c>
      <c r="AI75" s="32">
        <f>Raw_Adjusted_Prices!AI79/Raw_Adjusted_Prices!AI78-1</f>
        <v/>
      </c>
      <c r="AJ75" s="32">
        <f>Raw_Adjusted_Prices!AJ79/Raw_Adjusted_Prices!AJ78-1</f>
        <v/>
      </c>
      <c r="AK75" s="32">
        <f>Raw_Adjusted_Prices!AK79/Raw_Adjusted_Prices!AK78-1</f>
        <v/>
      </c>
      <c r="AL75" s="32">
        <f>Raw_Adjusted_Prices!AL79/Raw_Adjusted_Prices!AL78-1</f>
        <v/>
      </c>
      <c r="AM75" s="32">
        <f>Raw_Adjusted_Prices!AM79/Raw_Adjusted_Prices!AM78-1</f>
        <v/>
      </c>
      <c r="AN75" s="32">
        <f>Raw_Adjusted_Prices!AN79/Raw_Adjusted_Prices!AN78-1</f>
        <v/>
      </c>
    </row>
    <row r="76">
      <c r="A76" s="31" t="inlineStr">
        <is>
          <t>2021-03-01</t>
        </is>
      </c>
      <c r="B76" s="32">
        <f>Raw_Adjusted_Prices!B80/Raw_Adjusted_Prices!B79-1</f>
        <v/>
      </c>
      <c r="C76" s="32">
        <f>Raw_Adjusted_Prices!C80/Raw_Adjusted_Prices!C79-1</f>
        <v/>
      </c>
      <c r="D76" s="32">
        <f>Raw_Adjusted_Prices!D80/Raw_Adjusted_Prices!D79-1</f>
        <v/>
      </c>
      <c r="E76" s="32">
        <f>Raw_Adjusted_Prices!E80/Raw_Adjusted_Prices!E79-1</f>
        <v/>
      </c>
      <c r="F76" s="32">
        <f>Raw_Adjusted_Prices!F80/Raw_Adjusted_Prices!F79-1</f>
        <v/>
      </c>
      <c r="G76" s="32">
        <f>Raw_Adjusted_Prices!G80/Raw_Adjusted_Prices!G79-1</f>
        <v/>
      </c>
      <c r="H76" s="32">
        <f>Raw_Adjusted_Prices!H80/Raw_Adjusted_Prices!H79-1</f>
        <v/>
      </c>
      <c r="I76" s="32">
        <f>Raw_Adjusted_Prices!I80/Raw_Adjusted_Prices!I79-1</f>
        <v/>
      </c>
      <c r="J76" s="32">
        <f>Raw_Adjusted_Prices!J80/Raw_Adjusted_Prices!J79-1</f>
        <v/>
      </c>
      <c r="K76" s="32">
        <f>Raw_Adjusted_Prices!K80/Raw_Adjusted_Prices!K79-1</f>
        <v/>
      </c>
      <c r="L76" s="32">
        <f>Raw_Adjusted_Prices!L80/Raw_Adjusted_Prices!L79-1</f>
        <v/>
      </c>
      <c r="M76" s="32">
        <f>Raw_Adjusted_Prices!M80/Raw_Adjusted_Prices!M79-1</f>
        <v/>
      </c>
      <c r="N76" s="32">
        <f>Raw_Adjusted_Prices!N80/Raw_Adjusted_Prices!N79-1</f>
        <v/>
      </c>
      <c r="O76" s="32">
        <f>Raw_Adjusted_Prices!O80/Raw_Adjusted_Prices!O79-1</f>
        <v/>
      </c>
      <c r="P76" s="32">
        <f>Raw_Adjusted_Prices!P80/Raw_Adjusted_Prices!P79-1</f>
        <v/>
      </c>
      <c r="Q76" s="32">
        <f>Raw_Adjusted_Prices!Q80/Raw_Adjusted_Prices!Q79-1</f>
        <v/>
      </c>
      <c r="R76" s="32">
        <f>Raw_Adjusted_Prices!R80/Raw_Adjusted_Prices!R79-1</f>
        <v/>
      </c>
      <c r="S76" s="32">
        <f>Raw_Adjusted_Prices!S80/Raw_Adjusted_Prices!S79-1</f>
        <v/>
      </c>
      <c r="T76" s="32">
        <f>Raw_Adjusted_Prices!T80/Raw_Adjusted_Prices!T79-1</f>
        <v/>
      </c>
      <c r="U76" s="32">
        <f>Raw_Adjusted_Prices!U80/Raw_Adjusted_Prices!U79-1</f>
        <v/>
      </c>
      <c r="V76" s="32">
        <f>Raw_Adjusted_Prices!V80/Raw_Adjusted_Prices!V79-1</f>
        <v/>
      </c>
      <c r="W76" s="32">
        <f>Raw_Adjusted_Prices!W80/Raw_Adjusted_Prices!W79-1</f>
        <v/>
      </c>
      <c r="X76" s="32">
        <f>Raw_Adjusted_Prices!X80/Raw_Adjusted_Prices!X79-1</f>
        <v/>
      </c>
      <c r="Y76" s="32">
        <f>Raw_Adjusted_Prices!Y80/Raw_Adjusted_Prices!Y79-1</f>
        <v/>
      </c>
      <c r="Z76" s="32">
        <f>Raw_Adjusted_Prices!Z80/Raw_Adjusted_Prices!Z79-1</f>
        <v/>
      </c>
      <c r="AA76" s="32">
        <f>Raw_Adjusted_Prices!AA80/Raw_Adjusted_Prices!AA79-1</f>
        <v/>
      </c>
      <c r="AB76" s="32">
        <f>Raw_Adjusted_Prices!AB80/Raw_Adjusted_Prices!AB79-1</f>
        <v/>
      </c>
      <c r="AC76" s="32">
        <f>Raw_Adjusted_Prices!AC80/Raw_Adjusted_Prices!AC79-1</f>
        <v/>
      </c>
      <c r="AD76" s="32">
        <f>Raw_Adjusted_Prices!AD80/Raw_Adjusted_Prices!AD79-1</f>
        <v/>
      </c>
      <c r="AE76" s="32">
        <f>Raw_Adjusted_Prices!AE80/Raw_Adjusted_Prices!AE79-1</f>
        <v/>
      </c>
      <c r="AF76" s="32">
        <f>Raw_Adjusted_Prices!AF80/Raw_Adjusted_Prices!AF79-1</f>
        <v/>
      </c>
      <c r="AG76" s="32">
        <f>Raw_Adjusted_Prices!AG80/Raw_Adjusted_Prices!AG79-1</f>
        <v/>
      </c>
      <c r="AH76" s="32">
        <f>Raw_Adjusted_Prices!AH80/Raw_Adjusted_Prices!AH79-1</f>
        <v/>
      </c>
      <c r="AI76" s="32">
        <f>Raw_Adjusted_Prices!AI80/Raw_Adjusted_Prices!AI79-1</f>
        <v/>
      </c>
      <c r="AJ76" s="32">
        <f>Raw_Adjusted_Prices!AJ80/Raw_Adjusted_Prices!AJ79-1</f>
        <v/>
      </c>
      <c r="AK76" s="32">
        <f>Raw_Adjusted_Prices!AK80/Raw_Adjusted_Prices!AK79-1</f>
        <v/>
      </c>
      <c r="AL76" s="32">
        <f>Raw_Adjusted_Prices!AL80/Raw_Adjusted_Prices!AL79-1</f>
        <v/>
      </c>
      <c r="AM76" s="32">
        <f>Raw_Adjusted_Prices!AM80/Raw_Adjusted_Prices!AM79-1</f>
        <v/>
      </c>
      <c r="AN76" s="32">
        <f>Raw_Adjusted_Prices!AN80/Raw_Adjusted_Prices!AN79-1</f>
        <v/>
      </c>
    </row>
    <row r="77">
      <c r="A77" s="31" t="inlineStr">
        <is>
          <t>2021-04-01</t>
        </is>
      </c>
      <c r="B77" s="32">
        <f>Raw_Adjusted_Prices!B81/Raw_Adjusted_Prices!B80-1</f>
        <v/>
      </c>
      <c r="C77" s="32">
        <f>Raw_Adjusted_Prices!C81/Raw_Adjusted_Prices!C80-1</f>
        <v/>
      </c>
      <c r="D77" s="32">
        <f>Raw_Adjusted_Prices!D81/Raw_Adjusted_Prices!D80-1</f>
        <v/>
      </c>
      <c r="E77" s="32">
        <f>Raw_Adjusted_Prices!E81/Raw_Adjusted_Prices!E80-1</f>
        <v/>
      </c>
      <c r="F77" s="32">
        <f>Raw_Adjusted_Prices!F81/Raw_Adjusted_Prices!F80-1</f>
        <v/>
      </c>
      <c r="G77" s="32">
        <f>Raw_Adjusted_Prices!G81/Raw_Adjusted_Prices!G80-1</f>
        <v/>
      </c>
      <c r="H77" s="32">
        <f>Raw_Adjusted_Prices!H81/Raw_Adjusted_Prices!H80-1</f>
        <v/>
      </c>
      <c r="I77" s="32">
        <f>Raw_Adjusted_Prices!I81/Raw_Adjusted_Prices!I80-1</f>
        <v/>
      </c>
      <c r="J77" s="32">
        <f>Raw_Adjusted_Prices!J81/Raw_Adjusted_Prices!J80-1</f>
        <v/>
      </c>
      <c r="K77" s="32">
        <f>Raw_Adjusted_Prices!K81/Raw_Adjusted_Prices!K80-1</f>
        <v/>
      </c>
      <c r="L77" s="32">
        <f>Raw_Adjusted_Prices!L81/Raw_Adjusted_Prices!L80-1</f>
        <v/>
      </c>
      <c r="M77" s="32">
        <f>Raw_Adjusted_Prices!M81/Raw_Adjusted_Prices!M80-1</f>
        <v/>
      </c>
      <c r="N77" s="32">
        <f>Raw_Adjusted_Prices!N81/Raw_Adjusted_Prices!N80-1</f>
        <v/>
      </c>
      <c r="O77" s="32">
        <f>Raw_Adjusted_Prices!O81/Raw_Adjusted_Prices!O80-1</f>
        <v/>
      </c>
      <c r="P77" s="32">
        <f>Raw_Adjusted_Prices!P81/Raw_Adjusted_Prices!P80-1</f>
        <v/>
      </c>
      <c r="Q77" s="32">
        <f>Raw_Adjusted_Prices!Q81/Raw_Adjusted_Prices!Q80-1</f>
        <v/>
      </c>
      <c r="R77" s="32">
        <f>Raw_Adjusted_Prices!R81/Raw_Adjusted_Prices!R80-1</f>
        <v/>
      </c>
      <c r="S77" s="32">
        <f>Raw_Adjusted_Prices!S81/Raw_Adjusted_Prices!S80-1</f>
        <v/>
      </c>
      <c r="T77" s="32">
        <f>Raw_Adjusted_Prices!T81/Raw_Adjusted_Prices!T80-1</f>
        <v/>
      </c>
      <c r="U77" s="32">
        <f>Raw_Adjusted_Prices!U81/Raw_Adjusted_Prices!U80-1</f>
        <v/>
      </c>
      <c r="V77" s="32">
        <f>Raw_Adjusted_Prices!V81/Raw_Adjusted_Prices!V80-1</f>
        <v/>
      </c>
      <c r="W77" s="32">
        <f>Raw_Adjusted_Prices!W81/Raw_Adjusted_Prices!W80-1</f>
        <v/>
      </c>
      <c r="X77" s="32">
        <f>Raw_Adjusted_Prices!X81/Raw_Adjusted_Prices!X80-1</f>
        <v/>
      </c>
      <c r="Y77" s="32">
        <f>Raw_Adjusted_Prices!Y81/Raw_Adjusted_Prices!Y80-1</f>
        <v/>
      </c>
      <c r="Z77" s="32">
        <f>Raw_Adjusted_Prices!Z81/Raw_Adjusted_Prices!Z80-1</f>
        <v/>
      </c>
      <c r="AA77" s="32">
        <f>Raw_Adjusted_Prices!AA81/Raw_Adjusted_Prices!AA80-1</f>
        <v/>
      </c>
      <c r="AB77" s="32">
        <f>Raw_Adjusted_Prices!AB81/Raw_Adjusted_Prices!AB80-1</f>
        <v/>
      </c>
      <c r="AC77" s="32">
        <f>Raw_Adjusted_Prices!AC81/Raw_Adjusted_Prices!AC80-1</f>
        <v/>
      </c>
      <c r="AD77" s="32">
        <f>Raw_Adjusted_Prices!AD81/Raw_Adjusted_Prices!AD80-1</f>
        <v/>
      </c>
      <c r="AE77" s="32">
        <f>Raw_Adjusted_Prices!AE81/Raw_Adjusted_Prices!AE80-1</f>
        <v/>
      </c>
      <c r="AF77" s="32">
        <f>Raw_Adjusted_Prices!AF81/Raw_Adjusted_Prices!AF80-1</f>
        <v/>
      </c>
      <c r="AG77" s="32">
        <f>Raw_Adjusted_Prices!AG81/Raw_Adjusted_Prices!AG80-1</f>
        <v/>
      </c>
      <c r="AH77" s="32">
        <f>Raw_Adjusted_Prices!AH81/Raw_Adjusted_Prices!AH80-1</f>
        <v/>
      </c>
      <c r="AI77" s="32">
        <f>Raw_Adjusted_Prices!AI81/Raw_Adjusted_Prices!AI80-1</f>
        <v/>
      </c>
      <c r="AJ77" s="32">
        <f>Raw_Adjusted_Prices!AJ81/Raw_Adjusted_Prices!AJ80-1</f>
        <v/>
      </c>
      <c r="AK77" s="32">
        <f>Raw_Adjusted_Prices!AK81/Raw_Adjusted_Prices!AK80-1</f>
        <v/>
      </c>
      <c r="AL77" s="32">
        <f>Raw_Adjusted_Prices!AL81/Raw_Adjusted_Prices!AL80-1</f>
        <v/>
      </c>
      <c r="AM77" s="32">
        <f>Raw_Adjusted_Prices!AM81/Raw_Adjusted_Prices!AM80-1</f>
        <v/>
      </c>
      <c r="AN77" s="32">
        <f>Raw_Adjusted_Prices!AN81/Raw_Adjusted_Prices!AN80-1</f>
        <v/>
      </c>
    </row>
    <row r="78">
      <c r="A78" s="31" t="inlineStr">
        <is>
          <t>2021-05-01</t>
        </is>
      </c>
      <c r="B78" s="32">
        <f>Raw_Adjusted_Prices!B82/Raw_Adjusted_Prices!B81-1</f>
        <v/>
      </c>
      <c r="C78" s="32">
        <f>Raw_Adjusted_Prices!C82/Raw_Adjusted_Prices!C81-1</f>
        <v/>
      </c>
      <c r="D78" s="32">
        <f>Raw_Adjusted_Prices!D82/Raw_Adjusted_Prices!D81-1</f>
        <v/>
      </c>
      <c r="E78" s="32">
        <f>Raw_Adjusted_Prices!E82/Raw_Adjusted_Prices!E81-1</f>
        <v/>
      </c>
      <c r="F78" s="32">
        <f>Raw_Adjusted_Prices!F82/Raw_Adjusted_Prices!F81-1</f>
        <v/>
      </c>
      <c r="G78" s="32">
        <f>Raw_Adjusted_Prices!G82/Raw_Adjusted_Prices!G81-1</f>
        <v/>
      </c>
      <c r="H78" s="32">
        <f>Raw_Adjusted_Prices!H82/Raw_Adjusted_Prices!H81-1</f>
        <v/>
      </c>
      <c r="I78" s="32">
        <f>Raw_Adjusted_Prices!I82/Raw_Adjusted_Prices!I81-1</f>
        <v/>
      </c>
      <c r="J78" s="32">
        <f>Raw_Adjusted_Prices!J82/Raw_Adjusted_Prices!J81-1</f>
        <v/>
      </c>
      <c r="K78" s="32">
        <f>Raw_Adjusted_Prices!K82/Raw_Adjusted_Prices!K81-1</f>
        <v/>
      </c>
      <c r="L78" s="32">
        <f>Raw_Adjusted_Prices!L82/Raw_Adjusted_Prices!L81-1</f>
        <v/>
      </c>
      <c r="M78" s="32">
        <f>Raw_Adjusted_Prices!M82/Raw_Adjusted_Prices!M81-1</f>
        <v/>
      </c>
      <c r="N78" s="32">
        <f>Raw_Adjusted_Prices!N82/Raw_Adjusted_Prices!N81-1</f>
        <v/>
      </c>
      <c r="O78" s="32">
        <f>Raw_Adjusted_Prices!O82/Raw_Adjusted_Prices!O81-1</f>
        <v/>
      </c>
      <c r="P78" s="32">
        <f>Raw_Adjusted_Prices!P82/Raw_Adjusted_Prices!P81-1</f>
        <v/>
      </c>
      <c r="Q78" s="32">
        <f>Raw_Adjusted_Prices!Q82/Raw_Adjusted_Prices!Q81-1</f>
        <v/>
      </c>
      <c r="R78" s="32">
        <f>Raw_Adjusted_Prices!R82/Raw_Adjusted_Prices!R81-1</f>
        <v/>
      </c>
      <c r="S78" s="32">
        <f>Raw_Adjusted_Prices!S82/Raw_Adjusted_Prices!S81-1</f>
        <v/>
      </c>
      <c r="T78" s="32">
        <f>Raw_Adjusted_Prices!T82/Raw_Adjusted_Prices!T81-1</f>
        <v/>
      </c>
      <c r="U78" s="32">
        <f>Raw_Adjusted_Prices!U82/Raw_Adjusted_Prices!U81-1</f>
        <v/>
      </c>
      <c r="V78" s="32">
        <f>Raw_Adjusted_Prices!V82/Raw_Adjusted_Prices!V81-1</f>
        <v/>
      </c>
      <c r="W78" s="32">
        <f>Raw_Adjusted_Prices!W82/Raw_Adjusted_Prices!W81-1</f>
        <v/>
      </c>
      <c r="X78" s="32">
        <f>Raw_Adjusted_Prices!X82/Raw_Adjusted_Prices!X81-1</f>
        <v/>
      </c>
      <c r="Y78" s="32">
        <f>Raw_Adjusted_Prices!Y82/Raw_Adjusted_Prices!Y81-1</f>
        <v/>
      </c>
      <c r="Z78" s="32">
        <f>Raw_Adjusted_Prices!Z82/Raw_Adjusted_Prices!Z81-1</f>
        <v/>
      </c>
      <c r="AA78" s="32">
        <f>Raw_Adjusted_Prices!AA82/Raw_Adjusted_Prices!AA81-1</f>
        <v/>
      </c>
      <c r="AB78" s="32">
        <f>Raw_Adjusted_Prices!AB82/Raw_Adjusted_Prices!AB81-1</f>
        <v/>
      </c>
      <c r="AC78" s="32">
        <f>Raw_Adjusted_Prices!AC82/Raw_Adjusted_Prices!AC81-1</f>
        <v/>
      </c>
      <c r="AD78" s="32">
        <f>Raw_Adjusted_Prices!AD82/Raw_Adjusted_Prices!AD81-1</f>
        <v/>
      </c>
      <c r="AE78" s="32">
        <f>Raw_Adjusted_Prices!AE82/Raw_Adjusted_Prices!AE81-1</f>
        <v/>
      </c>
      <c r="AF78" s="32">
        <f>Raw_Adjusted_Prices!AF82/Raw_Adjusted_Prices!AF81-1</f>
        <v/>
      </c>
      <c r="AG78" s="32">
        <f>Raw_Adjusted_Prices!AG82/Raw_Adjusted_Prices!AG81-1</f>
        <v/>
      </c>
      <c r="AH78" s="32">
        <f>Raw_Adjusted_Prices!AH82/Raw_Adjusted_Prices!AH81-1</f>
        <v/>
      </c>
      <c r="AI78" s="32">
        <f>Raw_Adjusted_Prices!AI82/Raw_Adjusted_Prices!AI81-1</f>
        <v/>
      </c>
      <c r="AJ78" s="32">
        <f>Raw_Adjusted_Prices!AJ82/Raw_Adjusted_Prices!AJ81-1</f>
        <v/>
      </c>
      <c r="AK78" s="32">
        <f>Raw_Adjusted_Prices!AK82/Raw_Adjusted_Prices!AK81-1</f>
        <v/>
      </c>
      <c r="AL78" s="32">
        <f>Raw_Adjusted_Prices!AL82/Raw_Adjusted_Prices!AL81-1</f>
        <v/>
      </c>
      <c r="AM78" s="32">
        <f>Raw_Adjusted_Prices!AM82/Raw_Adjusted_Prices!AM81-1</f>
        <v/>
      </c>
      <c r="AN78" s="32">
        <f>Raw_Adjusted_Prices!AN82/Raw_Adjusted_Prices!AN81-1</f>
        <v/>
      </c>
    </row>
    <row r="79">
      <c r="A79" s="31" t="inlineStr">
        <is>
          <t>2021-06-01</t>
        </is>
      </c>
      <c r="B79" s="32">
        <f>Raw_Adjusted_Prices!B83/Raw_Adjusted_Prices!B82-1</f>
        <v/>
      </c>
      <c r="C79" s="32">
        <f>Raw_Adjusted_Prices!C83/Raw_Adjusted_Prices!C82-1</f>
        <v/>
      </c>
      <c r="D79" s="32">
        <f>Raw_Adjusted_Prices!D83/Raw_Adjusted_Prices!D82-1</f>
        <v/>
      </c>
      <c r="E79" s="32">
        <f>Raw_Adjusted_Prices!E83/Raw_Adjusted_Prices!E82-1</f>
        <v/>
      </c>
      <c r="F79" s="32">
        <f>Raw_Adjusted_Prices!F83/Raw_Adjusted_Prices!F82-1</f>
        <v/>
      </c>
      <c r="G79" s="32">
        <f>Raw_Adjusted_Prices!G83/Raw_Adjusted_Prices!G82-1</f>
        <v/>
      </c>
      <c r="H79" s="32">
        <f>Raw_Adjusted_Prices!H83/Raw_Adjusted_Prices!H82-1</f>
        <v/>
      </c>
      <c r="I79" s="32">
        <f>Raw_Adjusted_Prices!I83/Raw_Adjusted_Prices!I82-1</f>
        <v/>
      </c>
      <c r="J79" s="32">
        <f>Raw_Adjusted_Prices!J83/Raw_Adjusted_Prices!J82-1</f>
        <v/>
      </c>
      <c r="K79" s="32">
        <f>Raw_Adjusted_Prices!K83/Raw_Adjusted_Prices!K82-1</f>
        <v/>
      </c>
      <c r="L79" s="32">
        <f>Raw_Adjusted_Prices!L83/Raw_Adjusted_Prices!L82-1</f>
        <v/>
      </c>
      <c r="M79" s="32">
        <f>Raw_Adjusted_Prices!M83/Raw_Adjusted_Prices!M82-1</f>
        <v/>
      </c>
      <c r="N79" s="32">
        <f>Raw_Adjusted_Prices!N83/Raw_Adjusted_Prices!N82-1</f>
        <v/>
      </c>
      <c r="O79" s="32">
        <f>Raw_Adjusted_Prices!O83/Raw_Adjusted_Prices!O82-1</f>
        <v/>
      </c>
      <c r="P79" s="32">
        <f>Raw_Adjusted_Prices!P83/Raw_Adjusted_Prices!P82-1</f>
        <v/>
      </c>
      <c r="Q79" s="32">
        <f>Raw_Adjusted_Prices!Q83/Raw_Adjusted_Prices!Q82-1</f>
        <v/>
      </c>
      <c r="R79" s="32">
        <f>Raw_Adjusted_Prices!R83/Raw_Adjusted_Prices!R82-1</f>
        <v/>
      </c>
      <c r="S79" s="32">
        <f>Raw_Adjusted_Prices!S83/Raw_Adjusted_Prices!S82-1</f>
        <v/>
      </c>
      <c r="T79" s="32">
        <f>Raw_Adjusted_Prices!T83/Raw_Adjusted_Prices!T82-1</f>
        <v/>
      </c>
      <c r="U79" s="32">
        <f>Raw_Adjusted_Prices!U83/Raw_Adjusted_Prices!U82-1</f>
        <v/>
      </c>
      <c r="V79" s="32">
        <f>Raw_Adjusted_Prices!V83/Raw_Adjusted_Prices!V82-1</f>
        <v/>
      </c>
      <c r="W79" s="32">
        <f>Raw_Adjusted_Prices!W83/Raw_Adjusted_Prices!W82-1</f>
        <v/>
      </c>
      <c r="X79" s="32">
        <f>Raw_Adjusted_Prices!X83/Raw_Adjusted_Prices!X82-1</f>
        <v/>
      </c>
      <c r="Y79" s="32">
        <f>Raw_Adjusted_Prices!Y83/Raw_Adjusted_Prices!Y82-1</f>
        <v/>
      </c>
      <c r="Z79" s="32">
        <f>Raw_Adjusted_Prices!Z83/Raw_Adjusted_Prices!Z82-1</f>
        <v/>
      </c>
      <c r="AA79" s="32">
        <f>Raw_Adjusted_Prices!AA83/Raw_Adjusted_Prices!AA82-1</f>
        <v/>
      </c>
      <c r="AB79" s="32">
        <f>Raw_Adjusted_Prices!AB83/Raw_Adjusted_Prices!AB82-1</f>
        <v/>
      </c>
      <c r="AC79" s="32">
        <f>Raw_Adjusted_Prices!AC83/Raw_Adjusted_Prices!AC82-1</f>
        <v/>
      </c>
      <c r="AD79" s="32">
        <f>Raw_Adjusted_Prices!AD83/Raw_Adjusted_Prices!AD82-1</f>
        <v/>
      </c>
      <c r="AE79" s="32">
        <f>Raw_Adjusted_Prices!AE83/Raw_Adjusted_Prices!AE82-1</f>
        <v/>
      </c>
      <c r="AF79" s="32">
        <f>Raw_Adjusted_Prices!AF83/Raw_Adjusted_Prices!AF82-1</f>
        <v/>
      </c>
      <c r="AG79" s="32">
        <f>Raw_Adjusted_Prices!AG83/Raw_Adjusted_Prices!AG82-1</f>
        <v/>
      </c>
      <c r="AH79" s="32">
        <f>Raw_Adjusted_Prices!AH83/Raw_Adjusted_Prices!AH82-1</f>
        <v/>
      </c>
      <c r="AI79" s="32">
        <f>Raw_Adjusted_Prices!AI83/Raw_Adjusted_Prices!AI82-1</f>
        <v/>
      </c>
      <c r="AJ79" s="32">
        <f>Raw_Adjusted_Prices!AJ83/Raw_Adjusted_Prices!AJ82-1</f>
        <v/>
      </c>
      <c r="AK79" s="32">
        <f>Raw_Adjusted_Prices!AK83/Raw_Adjusted_Prices!AK82-1</f>
        <v/>
      </c>
      <c r="AL79" s="32">
        <f>Raw_Adjusted_Prices!AL83/Raw_Adjusted_Prices!AL82-1</f>
        <v/>
      </c>
      <c r="AM79" s="32">
        <f>Raw_Adjusted_Prices!AM83/Raw_Adjusted_Prices!AM82-1</f>
        <v/>
      </c>
      <c r="AN79" s="32">
        <f>Raw_Adjusted_Prices!AN83/Raw_Adjusted_Prices!AN82-1</f>
        <v/>
      </c>
    </row>
    <row r="80">
      <c r="A80" s="31" t="inlineStr">
        <is>
          <t>2021-07-01</t>
        </is>
      </c>
      <c r="B80" s="32">
        <f>Raw_Adjusted_Prices!B84/Raw_Adjusted_Prices!B83-1</f>
        <v/>
      </c>
      <c r="C80" s="32">
        <f>Raw_Adjusted_Prices!C84/Raw_Adjusted_Prices!C83-1</f>
        <v/>
      </c>
      <c r="D80" s="32">
        <f>Raw_Adjusted_Prices!D84/Raw_Adjusted_Prices!D83-1</f>
        <v/>
      </c>
      <c r="E80" s="32">
        <f>Raw_Adjusted_Prices!E84/Raw_Adjusted_Prices!E83-1</f>
        <v/>
      </c>
      <c r="F80" s="32">
        <f>Raw_Adjusted_Prices!F84/Raw_Adjusted_Prices!F83-1</f>
        <v/>
      </c>
      <c r="G80" s="32">
        <f>Raw_Adjusted_Prices!G84/Raw_Adjusted_Prices!G83-1</f>
        <v/>
      </c>
      <c r="H80" s="32">
        <f>Raw_Adjusted_Prices!H84/Raw_Adjusted_Prices!H83-1</f>
        <v/>
      </c>
      <c r="I80" s="32">
        <f>Raw_Adjusted_Prices!I84/Raw_Adjusted_Prices!I83-1</f>
        <v/>
      </c>
      <c r="J80" s="32">
        <f>Raw_Adjusted_Prices!J84/Raw_Adjusted_Prices!J83-1</f>
        <v/>
      </c>
      <c r="K80" s="32">
        <f>Raw_Adjusted_Prices!K84/Raw_Adjusted_Prices!K83-1</f>
        <v/>
      </c>
      <c r="L80" s="32">
        <f>Raw_Adjusted_Prices!L84/Raw_Adjusted_Prices!L83-1</f>
        <v/>
      </c>
      <c r="M80" s="32">
        <f>Raw_Adjusted_Prices!M84/Raw_Adjusted_Prices!M83-1</f>
        <v/>
      </c>
      <c r="N80" s="32">
        <f>Raw_Adjusted_Prices!N84/Raw_Adjusted_Prices!N83-1</f>
        <v/>
      </c>
      <c r="O80" s="32">
        <f>Raw_Adjusted_Prices!O84/Raw_Adjusted_Prices!O83-1</f>
        <v/>
      </c>
      <c r="P80" s="32">
        <f>Raw_Adjusted_Prices!P84/Raw_Adjusted_Prices!P83-1</f>
        <v/>
      </c>
      <c r="Q80" s="32">
        <f>Raw_Adjusted_Prices!Q84/Raw_Adjusted_Prices!Q83-1</f>
        <v/>
      </c>
      <c r="R80" s="32">
        <f>Raw_Adjusted_Prices!R84/Raw_Adjusted_Prices!R83-1</f>
        <v/>
      </c>
      <c r="S80" s="32">
        <f>Raw_Adjusted_Prices!S84/Raw_Adjusted_Prices!S83-1</f>
        <v/>
      </c>
      <c r="T80" s="32">
        <f>Raw_Adjusted_Prices!T84/Raw_Adjusted_Prices!T83-1</f>
        <v/>
      </c>
      <c r="U80" s="32">
        <f>Raw_Adjusted_Prices!U84/Raw_Adjusted_Prices!U83-1</f>
        <v/>
      </c>
      <c r="V80" s="32">
        <f>Raw_Adjusted_Prices!V84/Raw_Adjusted_Prices!V83-1</f>
        <v/>
      </c>
      <c r="W80" s="32">
        <f>Raw_Adjusted_Prices!W84/Raw_Adjusted_Prices!W83-1</f>
        <v/>
      </c>
      <c r="X80" s="32">
        <f>Raw_Adjusted_Prices!X84/Raw_Adjusted_Prices!X83-1</f>
        <v/>
      </c>
      <c r="Y80" s="32">
        <f>Raw_Adjusted_Prices!Y84/Raw_Adjusted_Prices!Y83-1</f>
        <v/>
      </c>
      <c r="Z80" s="32">
        <f>Raw_Adjusted_Prices!Z84/Raw_Adjusted_Prices!Z83-1</f>
        <v/>
      </c>
      <c r="AA80" s="32">
        <f>Raw_Adjusted_Prices!AA84/Raw_Adjusted_Prices!AA83-1</f>
        <v/>
      </c>
      <c r="AB80" s="32">
        <f>Raw_Adjusted_Prices!AB84/Raw_Adjusted_Prices!AB83-1</f>
        <v/>
      </c>
      <c r="AC80" s="32">
        <f>Raw_Adjusted_Prices!AC84/Raw_Adjusted_Prices!AC83-1</f>
        <v/>
      </c>
      <c r="AD80" s="32">
        <f>Raw_Adjusted_Prices!AD84/Raw_Adjusted_Prices!AD83-1</f>
        <v/>
      </c>
      <c r="AE80" s="32">
        <f>Raw_Adjusted_Prices!AE84/Raw_Adjusted_Prices!AE83-1</f>
        <v/>
      </c>
      <c r="AF80" s="32">
        <f>Raw_Adjusted_Prices!AF84/Raw_Adjusted_Prices!AF83-1</f>
        <v/>
      </c>
      <c r="AG80" s="32">
        <f>Raw_Adjusted_Prices!AG84/Raw_Adjusted_Prices!AG83-1</f>
        <v/>
      </c>
      <c r="AH80" s="32">
        <f>Raw_Adjusted_Prices!AH84/Raw_Adjusted_Prices!AH83-1</f>
        <v/>
      </c>
      <c r="AI80" s="32">
        <f>Raw_Adjusted_Prices!AI84/Raw_Adjusted_Prices!AI83-1</f>
        <v/>
      </c>
      <c r="AJ80" s="32">
        <f>Raw_Adjusted_Prices!AJ84/Raw_Adjusted_Prices!AJ83-1</f>
        <v/>
      </c>
      <c r="AK80" s="32">
        <f>Raw_Adjusted_Prices!AK84/Raw_Adjusted_Prices!AK83-1</f>
        <v/>
      </c>
      <c r="AL80" s="32">
        <f>Raw_Adjusted_Prices!AL84/Raw_Adjusted_Prices!AL83-1</f>
        <v/>
      </c>
      <c r="AM80" s="32">
        <f>Raw_Adjusted_Prices!AM84/Raw_Adjusted_Prices!AM83-1</f>
        <v/>
      </c>
      <c r="AN80" s="32">
        <f>Raw_Adjusted_Prices!AN84/Raw_Adjusted_Prices!AN83-1</f>
        <v/>
      </c>
    </row>
    <row r="81">
      <c r="A81" s="31" t="inlineStr">
        <is>
          <t>2021-08-01</t>
        </is>
      </c>
      <c r="B81" s="32">
        <f>Raw_Adjusted_Prices!B85/Raw_Adjusted_Prices!B84-1</f>
        <v/>
      </c>
      <c r="C81" s="32">
        <f>Raw_Adjusted_Prices!C85/Raw_Adjusted_Prices!C84-1</f>
        <v/>
      </c>
      <c r="D81" s="32">
        <f>Raw_Adjusted_Prices!D85/Raw_Adjusted_Prices!D84-1</f>
        <v/>
      </c>
      <c r="E81" s="32">
        <f>Raw_Adjusted_Prices!E85/Raw_Adjusted_Prices!E84-1</f>
        <v/>
      </c>
      <c r="F81" s="32">
        <f>Raw_Adjusted_Prices!F85/Raw_Adjusted_Prices!F84-1</f>
        <v/>
      </c>
      <c r="G81" s="32">
        <f>Raw_Adjusted_Prices!G85/Raw_Adjusted_Prices!G84-1</f>
        <v/>
      </c>
      <c r="H81" s="32">
        <f>Raw_Adjusted_Prices!H85/Raw_Adjusted_Prices!H84-1</f>
        <v/>
      </c>
      <c r="I81" s="32">
        <f>Raw_Adjusted_Prices!I85/Raw_Adjusted_Prices!I84-1</f>
        <v/>
      </c>
      <c r="J81" s="32">
        <f>Raw_Adjusted_Prices!J85/Raw_Adjusted_Prices!J84-1</f>
        <v/>
      </c>
      <c r="K81" s="32">
        <f>Raw_Adjusted_Prices!K85/Raw_Adjusted_Prices!K84-1</f>
        <v/>
      </c>
      <c r="L81" s="32">
        <f>Raw_Adjusted_Prices!L85/Raw_Adjusted_Prices!L84-1</f>
        <v/>
      </c>
      <c r="M81" s="32">
        <f>Raw_Adjusted_Prices!M85/Raw_Adjusted_Prices!M84-1</f>
        <v/>
      </c>
      <c r="N81" s="32">
        <f>Raw_Adjusted_Prices!N85/Raw_Adjusted_Prices!N84-1</f>
        <v/>
      </c>
      <c r="O81" s="32">
        <f>Raw_Adjusted_Prices!O85/Raw_Adjusted_Prices!O84-1</f>
        <v/>
      </c>
      <c r="P81" s="32">
        <f>Raw_Adjusted_Prices!P85/Raw_Adjusted_Prices!P84-1</f>
        <v/>
      </c>
      <c r="Q81" s="32">
        <f>Raw_Adjusted_Prices!Q85/Raw_Adjusted_Prices!Q84-1</f>
        <v/>
      </c>
      <c r="R81" s="32">
        <f>Raw_Adjusted_Prices!R85/Raw_Adjusted_Prices!R84-1</f>
        <v/>
      </c>
      <c r="S81" s="32">
        <f>Raw_Adjusted_Prices!S85/Raw_Adjusted_Prices!S84-1</f>
        <v/>
      </c>
      <c r="T81" s="32">
        <f>Raw_Adjusted_Prices!T85/Raw_Adjusted_Prices!T84-1</f>
        <v/>
      </c>
      <c r="U81" s="32">
        <f>Raw_Adjusted_Prices!U85/Raw_Adjusted_Prices!U84-1</f>
        <v/>
      </c>
      <c r="V81" s="32">
        <f>Raw_Adjusted_Prices!V85/Raw_Adjusted_Prices!V84-1</f>
        <v/>
      </c>
      <c r="W81" s="32">
        <f>Raw_Adjusted_Prices!W85/Raw_Adjusted_Prices!W84-1</f>
        <v/>
      </c>
      <c r="X81" s="32">
        <f>Raw_Adjusted_Prices!X85/Raw_Adjusted_Prices!X84-1</f>
        <v/>
      </c>
      <c r="Y81" s="32">
        <f>Raw_Adjusted_Prices!Y85/Raw_Adjusted_Prices!Y84-1</f>
        <v/>
      </c>
      <c r="Z81" s="32">
        <f>Raw_Adjusted_Prices!Z85/Raw_Adjusted_Prices!Z84-1</f>
        <v/>
      </c>
      <c r="AA81" s="32">
        <f>Raw_Adjusted_Prices!AA85/Raw_Adjusted_Prices!AA84-1</f>
        <v/>
      </c>
      <c r="AB81" s="32">
        <f>Raw_Adjusted_Prices!AB85/Raw_Adjusted_Prices!AB84-1</f>
        <v/>
      </c>
      <c r="AC81" s="32">
        <f>Raw_Adjusted_Prices!AC85/Raw_Adjusted_Prices!AC84-1</f>
        <v/>
      </c>
      <c r="AD81" s="32">
        <f>Raw_Adjusted_Prices!AD85/Raw_Adjusted_Prices!AD84-1</f>
        <v/>
      </c>
      <c r="AE81" s="32">
        <f>Raw_Adjusted_Prices!AE85/Raw_Adjusted_Prices!AE84-1</f>
        <v/>
      </c>
      <c r="AF81" s="32">
        <f>Raw_Adjusted_Prices!AF85/Raw_Adjusted_Prices!AF84-1</f>
        <v/>
      </c>
      <c r="AG81" s="32">
        <f>Raw_Adjusted_Prices!AG85/Raw_Adjusted_Prices!AG84-1</f>
        <v/>
      </c>
      <c r="AH81" s="32">
        <f>Raw_Adjusted_Prices!AH85/Raw_Adjusted_Prices!AH84-1</f>
        <v/>
      </c>
      <c r="AI81" s="32">
        <f>Raw_Adjusted_Prices!AI85/Raw_Adjusted_Prices!AI84-1</f>
        <v/>
      </c>
      <c r="AJ81" s="32">
        <f>Raw_Adjusted_Prices!AJ85/Raw_Adjusted_Prices!AJ84-1</f>
        <v/>
      </c>
      <c r="AK81" s="32">
        <f>Raw_Adjusted_Prices!AK85/Raw_Adjusted_Prices!AK84-1</f>
        <v/>
      </c>
      <c r="AL81" s="32">
        <f>Raw_Adjusted_Prices!AL85/Raw_Adjusted_Prices!AL84-1</f>
        <v/>
      </c>
      <c r="AM81" s="32">
        <f>Raw_Adjusted_Prices!AM85/Raw_Adjusted_Prices!AM84-1</f>
        <v/>
      </c>
      <c r="AN81" s="32">
        <f>Raw_Adjusted_Prices!AN85/Raw_Adjusted_Prices!AN84-1</f>
        <v/>
      </c>
    </row>
    <row r="82">
      <c r="A82" s="31" t="inlineStr">
        <is>
          <t>2021-09-01</t>
        </is>
      </c>
      <c r="B82" s="32">
        <f>Raw_Adjusted_Prices!B86/Raw_Adjusted_Prices!B85-1</f>
        <v/>
      </c>
      <c r="C82" s="32">
        <f>Raw_Adjusted_Prices!C86/Raw_Adjusted_Prices!C85-1</f>
        <v/>
      </c>
      <c r="D82" s="32">
        <f>Raw_Adjusted_Prices!D86/Raw_Adjusted_Prices!D85-1</f>
        <v/>
      </c>
      <c r="E82" s="32">
        <f>Raw_Adjusted_Prices!E86/Raw_Adjusted_Prices!E85-1</f>
        <v/>
      </c>
      <c r="F82" s="32">
        <f>Raw_Adjusted_Prices!F86/Raw_Adjusted_Prices!F85-1</f>
        <v/>
      </c>
      <c r="G82" s="32">
        <f>Raw_Adjusted_Prices!G86/Raw_Adjusted_Prices!G85-1</f>
        <v/>
      </c>
      <c r="H82" s="32">
        <f>Raw_Adjusted_Prices!H86/Raw_Adjusted_Prices!H85-1</f>
        <v/>
      </c>
      <c r="I82" s="32">
        <f>Raw_Adjusted_Prices!I86/Raw_Adjusted_Prices!I85-1</f>
        <v/>
      </c>
      <c r="J82" s="32">
        <f>Raw_Adjusted_Prices!J86/Raw_Adjusted_Prices!J85-1</f>
        <v/>
      </c>
      <c r="K82" s="32">
        <f>Raw_Adjusted_Prices!K86/Raw_Adjusted_Prices!K85-1</f>
        <v/>
      </c>
      <c r="L82" s="32">
        <f>Raw_Adjusted_Prices!L86/Raw_Adjusted_Prices!L85-1</f>
        <v/>
      </c>
      <c r="M82" s="32">
        <f>Raw_Adjusted_Prices!M86/Raw_Adjusted_Prices!M85-1</f>
        <v/>
      </c>
      <c r="N82" s="32">
        <f>Raw_Adjusted_Prices!N86/Raw_Adjusted_Prices!N85-1</f>
        <v/>
      </c>
      <c r="O82" s="32">
        <f>Raw_Adjusted_Prices!O86/Raw_Adjusted_Prices!O85-1</f>
        <v/>
      </c>
      <c r="P82" s="32">
        <f>Raw_Adjusted_Prices!P86/Raw_Adjusted_Prices!P85-1</f>
        <v/>
      </c>
      <c r="Q82" s="32">
        <f>Raw_Adjusted_Prices!Q86/Raw_Adjusted_Prices!Q85-1</f>
        <v/>
      </c>
      <c r="R82" s="32">
        <f>Raw_Adjusted_Prices!R86/Raw_Adjusted_Prices!R85-1</f>
        <v/>
      </c>
      <c r="S82" s="32">
        <f>Raw_Adjusted_Prices!S86/Raw_Adjusted_Prices!S85-1</f>
        <v/>
      </c>
      <c r="T82" s="32">
        <f>Raw_Adjusted_Prices!T86/Raw_Adjusted_Prices!T85-1</f>
        <v/>
      </c>
      <c r="U82" s="32">
        <f>Raw_Adjusted_Prices!U86/Raw_Adjusted_Prices!U85-1</f>
        <v/>
      </c>
      <c r="V82" s="32">
        <f>Raw_Adjusted_Prices!V86/Raw_Adjusted_Prices!V85-1</f>
        <v/>
      </c>
      <c r="W82" s="32">
        <f>Raw_Adjusted_Prices!W86/Raw_Adjusted_Prices!W85-1</f>
        <v/>
      </c>
      <c r="X82" s="32">
        <f>Raw_Adjusted_Prices!X86/Raw_Adjusted_Prices!X85-1</f>
        <v/>
      </c>
      <c r="Y82" s="32">
        <f>Raw_Adjusted_Prices!Y86/Raw_Adjusted_Prices!Y85-1</f>
        <v/>
      </c>
      <c r="Z82" s="32">
        <f>Raw_Adjusted_Prices!Z86/Raw_Adjusted_Prices!Z85-1</f>
        <v/>
      </c>
      <c r="AA82" s="32">
        <f>Raw_Adjusted_Prices!AA86/Raw_Adjusted_Prices!AA85-1</f>
        <v/>
      </c>
      <c r="AB82" s="32">
        <f>Raw_Adjusted_Prices!AB86/Raw_Adjusted_Prices!AB85-1</f>
        <v/>
      </c>
      <c r="AC82" s="32">
        <f>Raw_Adjusted_Prices!AC86/Raw_Adjusted_Prices!AC85-1</f>
        <v/>
      </c>
      <c r="AD82" s="32">
        <f>Raw_Adjusted_Prices!AD86/Raw_Adjusted_Prices!AD85-1</f>
        <v/>
      </c>
      <c r="AE82" s="32">
        <f>Raw_Adjusted_Prices!AE86/Raw_Adjusted_Prices!AE85-1</f>
        <v/>
      </c>
      <c r="AF82" s="32">
        <f>Raw_Adjusted_Prices!AF86/Raw_Adjusted_Prices!AF85-1</f>
        <v/>
      </c>
      <c r="AG82" s="32">
        <f>Raw_Adjusted_Prices!AG86/Raw_Adjusted_Prices!AG85-1</f>
        <v/>
      </c>
      <c r="AH82" s="32">
        <f>Raw_Adjusted_Prices!AH86/Raw_Adjusted_Prices!AH85-1</f>
        <v/>
      </c>
      <c r="AI82" s="32">
        <f>Raw_Adjusted_Prices!AI86/Raw_Adjusted_Prices!AI85-1</f>
        <v/>
      </c>
      <c r="AJ82" s="32">
        <f>Raw_Adjusted_Prices!AJ86/Raw_Adjusted_Prices!AJ85-1</f>
        <v/>
      </c>
      <c r="AK82" s="32">
        <f>Raw_Adjusted_Prices!AK86/Raw_Adjusted_Prices!AK85-1</f>
        <v/>
      </c>
      <c r="AL82" s="32">
        <f>Raw_Adjusted_Prices!AL86/Raw_Adjusted_Prices!AL85-1</f>
        <v/>
      </c>
      <c r="AM82" s="32">
        <f>Raw_Adjusted_Prices!AM86/Raw_Adjusted_Prices!AM85-1</f>
        <v/>
      </c>
      <c r="AN82" s="32">
        <f>Raw_Adjusted_Prices!AN86/Raw_Adjusted_Prices!AN85-1</f>
        <v/>
      </c>
    </row>
    <row r="83">
      <c r="A83" s="31" t="inlineStr">
        <is>
          <t>2021-10-01</t>
        </is>
      </c>
      <c r="B83" s="32">
        <f>Raw_Adjusted_Prices!B87/Raw_Adjusted_Prices!B86-1</f>
        <v/>
      </c>
      <c r="C83" s="32">
        <f>Raw_Adjusted_Prices!C87/Raw_Adjusted_Prices!C86-1</f>
        <v/>
      </c>
      <c r="D83" s="32">
        <f>Raw_Adjusted_Prices!D87/Raw_Adjusted_Prices!D86-1</f>
        <v/>
      </c>
      <c r="E83" s="32">
        <f>Raw_Adjusted_Prices!E87/Raw_Adjusted_Prices!E86-1</f>
        <v/>
      </c>
      <c r="F83" s="32">
        <f>Raw_Adjusted_Prices!F87/Raw_Adjusted_Prices!F86-1</f>
        <v/>
      </c>
      <c r="G83" s="32">
        <f>Raw_Adjusted_Prices!G87/Raw_Adjusted_Prices!G86-1</f>
        <v/>
      </c>
      <c r="H83" s="32">
        <f>Raw_Adjusted_Prices!H87/Raw_Adjusted_Prices!H86-1</f>
        <v/>
      </c>
      <c r="I83" s="32">
        <f>Raw_Adjusted_Prices!I87/Raw_Adjusted_Prices!I86-1</f>
        <v/>
      </c>
      <c r="J83" s="32">
        <f>Raw_Adjusted_Prices!J87/Raw_Adjusted_Prices!J86-1</f>
        <v/>
      </c>
      <c r="K83" s="32">
        <f>Raw_Adjusted_Prices!K87/Raw_Adjusted_Prices!K86-1</f>
        <v/>
      </c>
      <c r="L83" s="32">
        <f>Raw_Adjusted_Prices!L87/Raw_Adjusted_Prices!L86-1</f>
        <v/>
      </c>
      <c r="M83" s="32">
        <f>Raw_Adjusted_Prices!M87/Raw_Adjusted_Prices!M86-1</f>
        <v/>
      </c>
      <c r="N83" s="32">
        <f>Raw_Adjusted_Prices!N87/Raw_Adjusted_Prices!N86-1</f>
        <v/>
      </c>
      <c r="O83" s="32">
        <f>Raw_Adjusted_Prices!O87/Raw_Adjusted_Prices!O86-1</f>
        <v/>
      </c>
      <c r="P83" s="32">
        <f>Raw_Adjusted_Prices!P87/Raw_Adjusted_Prices!P86-1</f>
        <v/>
      </c>
      <c r="Q83" s="32">
        <f>Raw_Adjusted_Prices!Q87/Raw_Adjusted_Prices!Q86-1</f>
        <v/>
      </c>
      <c r="R83" s="32">
        <f>Raw_Adjusted_Prices!R87/Raw_Adjusted_Prices!R86-1</f>
        <v/>
      </c>
      <c r="S83" s="32">
        <f>Raw_Adjusted_Prices!S87/Raw_Adjusted_Prices!S86-1</f>
        <v/>
      </c>
      <c r="T83" s="32">
        <f>Raw_Adjusted_Prices!T87/Raw_Adjusted_Prices!T86-1</f>
        <v/>
      </c>
      <c r="U83" s="32">
        <f>Raw_Adjusted_Prices!U87/Raw_Adjusted_Prices!U86-1</f>
        <v/>
      </c>
      <c r="V83" s="32">
        <f>Raw_Adjusted_Prices!V87/Raw_Adjusted_Prices!V86-1</f>
        <v/>
      </c>
      <c r="W83" s="32">
        <f>Raw_Adjusted_Prices!W87/Raw_Adjusted_Prices!W86-1</f>
        <v/>
      </c>
      <c r="X83" s="32">
        <f>Raw_Adjusted_Prices!X87/Raw_Adjusted_Prices!X86-1</f>
        <v/>
      </c>
      <c r="Y83" s="32">
        <f>Raw_Adjusted_Prices!Y87/Raw_Adjusted_Prices!Y86-1</f>
        <v/>
      </c>
      <c r="Z83" s="32">
        <f>Raw_Adjusted_Prices!Z87/Raw_Adjusted_Prices!Z86-1</f>
        <v/>
      </c>
      <c r="AA83" s="32">
        <f>Raw_Adjusted_Prices!AA87/Raw_Adjusted_Prices!AA86-1</f>
        <v/>
      </c>
      <c r="AB83" s="32">
        <f>Raw_Adjusted_Prices!AB87/Raw_Adjusted_Prices!AB86-1</f>
        <v/>
      </c>
      <c r="AC83" s="32">
        <f>Raw_Adjusted_Prices!AC87/Raw_Adjusted_Prices!AC86-1</f>
        <v/>
      </c>
      <c r="AD83" s="32">
        <f>Raw_Adjusted_Prices!AD87/Raw_Adjusted_Prices!AD86-1</f>
        <v/>
      </c>
      <c r="AE83" s="32">
        <f>Raw_Adjusted_Prices!AE87/Raw_Adjusted_Prices!AE86-1</f>
        <v/>
      </c>
      <c r="AF83" s="32">
        <f>Raw_Adjusted_Prices!AF87/Raw_Adjusted_Prices!AF86-1</f>
        <v/>
      </c>
      <c r="AG83" s="32">
        <f>Raw_Adjusted_Prices!AG87/Raw_Adjusted_Prices!AG86-1</f>
        <v/>
      </c>
      <c r="AH83" s="32">
        <f>Raw_Adjusted_Prices!AH87/Raw_Adjusted_Prices!AH86-1</f>
        <v/>
      </c>
      <c r="AI83" s="32">
        <f>Raw_Adjusted_Prices!AI87/Raw_Adjusted_Prices!AI86-1</f>
        <v/>
      </c>
      <c r="AJ83" s="32">
        <f>Raw_Adjusted_Prices!AJ87/Raw_Adjusted_Prices!AJ86-1</f>
        <v/>
      </c>
      <c r="AK83" s="32">
        <f>Raw_Adjusted_Prices!AK87/Raw_Adjusted_Prices!AK86-1</f>
        <v/>
      </c>
      <c r="AL83" s="32">
        <f>Raw_Adjusted_Prices!AL87/Raw_Adjusted_Prices!AL86-1</f>
        <v/>
      </c>
      <c r="AM83" s="32">
        <f>Raw_Adjusted_Prices!AM87/Raw_Adjusted_Prices!AM86-1</f>
        <v/>
      </c>
      <c r="AN83" s="32">
        <f>Raw_Adjusted_Prices!AN87/Raw_Adjusted_Prices!AN86-1</f>
        <v/>
      </c>
    </row>
    <row r="84">
      <c r="A84" s="31" t="inlineStr">
        <is>
          <t>2021-11-01</t>
        </is>
      </c>
      <c r="B84" s="32">
        <f>Raw_Adjusted_Prices!B88/Raw_Adjusted_Prices!B87-1</f>
        <v/>
      </c>
      <c r="C84" s="32">
        <f>Raw_Adjusted_Prices!C88/Raw_Adjusted_Prices!C87-1</f>
        <v/>
      </c>
      <c r="D84" s="32">
        <f>Raw_Adjusted_Prices!D88/Raw_Adjusted_Prices!D87-1</f>
        <v/>
      </c>
      <c r="E84" s="32">
        <f>Raw_Adjusted_Prices!E88/Raw_Adjusted_Prices!E87-1</f>
        <v/>
      </c>
      <c r="F84" s="32">
        <f>Raw_Adjusted_Prices!F88/Raw_Adjusted_Prices!F87-1</f>
        <v/>
      </c>
      <c r="G84" s="32">
        <f>Raw_Adjusted_Prices!G88/Raw_Adjusted_Prices!G87-1</f>
        <v/>
      </c>
      <c r="H84" s="32">
        <f>Raw_Adjusted_Prices!H88/Raw_Adjusted_Prices!H87-1</f>
        <v/>
      </c>
      <c r="I84" s="32">
        <f>Raw_Adjusted_Prices!I88/Raw_Adjusted_Prices!I87-1</f>
        <v/>
      </c>
      <c r="J84" s="32">
        <f>Raw_Adjusted_Prices!J88/Raw_Adjusted_Prices!J87-1</f>
        <v/>
      </c>
      <c r="K84" s="32">
        <f>Raw_Adjusted_Prices!K88/Raw_Adjusted_Prices!K87-1</f>
        <v/>
      </c>
      <c r="L84" s="32">
        <f>Raw_Adjusted_Prices!L88/Raw_Adjusted_Prices!L87-1</f>
        <v/>
      </c>
      <c r="M84" s="32">
        <f>Raw_Adjusted_Prices!M88/Raw_Adjusted_Prices!M87-1</f>
        <v/>
      </c>
      <c r="N84" s="32">
        <f>Raw_Adjusted_Prices!N88/Raw_Adjusted_Prices!N87-1</f>
        <v/>
      </c>
      <c r="O84" s="32">
        <f>Raw_Adjusted_Prices!O88/Raw_Adjusted_Prices!O87-1</f>
        <v/>
      </c>
      <c r="P84" s="32">
        <f>Raw_Adjusted_Prices!P88/Raw_Adjusted_Prices!P87-1</f>
        <v/>
      </c>
      <c r="Q84" s="32">
        <f>Raw_Adjusted_Prices!Q88/Raw_Adjusted_Prices!Q87-1</f>
        <v/>
      </c>
      <c r="R84" s="32">
        <f>Raw_Adjusted_Prices!R88/Raw_Adjusted_Prices!R87-1</f>
        <v/>
      </c>
      <c r="S84" s="32">
        <f>Raw_Adjusted_Prices!S88/Raw_Adjusted_Prices!S87-1</f>
        <v/>
      </c>
      <c r="T84" s="32">
        <f>Raw_Adjusted_Prices!T88/Raw_Adjusted_Prices!T87-1</f>
        <v/>
      </c>
      <c r="U84" s="32">
        <f>Raw_Adjusted_Prices!U88/Raw_Adjusted_Prices!U87-1</f>
        <v/>
      </c>
      <c r="V84" s="32">
        <f>Raw_Adjusted_Prices!V88/Raw_Adjusted_Prices!V87-1</f>
        <v/>
      </c>
      <c r="W84" s="32">
        <f>Raw_Adjusted_Prices!W88/Raw_Adjusted_Prices!W87-1</f>
        <v/>
      </c>
      <c r="X84" s="32">
        <f>Raw_Adjusted_Prices!X88/Raw_Adjusted_Prices!X87-1</f>
        <v/>
      </c>
      <c r="Y84" s="32">
        <f>Raw_Adjusted_Prices!Y88/Raw_Adjusted_Prices!Y87-1</f>
        <v/>
      </c>
      <c r="Z84" s="32">
        <f>Raw_Adjusted_Prices!Z88/Raw_Adjusted_Prices!Z87-1</f>
        <v/>
      </c>
      <c r="AA84" s="32">
        <f>Raw_Adjusted_Prices!AA88/Raw_Adjusted_Prices!AA87-1</f>
        <v/>
      </c>
      <c r="AB84" s="32">
        <f>Raw_Adjusted_Prices!AB88/Raw_Adjusted_Prices!AB87-1</f>
        <v/>
      </c>
      <c r="AC84" s="32">
        <f>Raw_Adjusted_Prices!AC88/Raw_Adjusted_Prices!AC87-1</f>
        <v/>
      </c>
      <c r="AD84" s="32">
        <f>Raw_Adjusted_Prices!AD88/Raw_Adjusted_Prices!AD87-1</f>
        <v/>
      </c>
      <c r="AE84" s="32">
        <f>Raw_Adjusted_Prices!AE88/Raw_Adjusted_Prices!AE87-1</f>
        <v/>
      </c>
      <c r="AF84" s="32">
        <f>Raw_Adjusted_Prices!AF88/Raw_Adjusted_Prices!AF87-1</f>
        <v/>
      </c>
      <c r="AG84" s="32">
        <f>Raw_Adjusted_Prices!AG88/Raw_Adjusted_Prices!AG87-1</f>
        <v/>
      </c>
      <c r="AH84" s="32">
        <f>Raw_Adjusted_Prices!AH88/Raw_Adjusted_Prices!AH87-1</f>
        <v/>
      </c>
      <c r="AI84" s="32">
        <f>Raw_Adjusted_Prices!AI88/Raw_Adjusted_Prices!AI87-1</f>
        <v/>
      </c>
      <c r="AJ84" s="32">
        <f>Raw_Adjusted_Prices!AJ88/Raw_Adjusted_Prices!AJ87-1</f>
        <v/>
      </c>
      <c r="AK84" s="32">
        <f>Raw_Adjusted_Prices!AK88/Raw_Adjusted_Prices!AK87-1</f>
        <v/>
      </c>
      <c r="AL84" s="32">
        <f>Raw_Adjusted_Prices!AL88/Raw_Adjusted_Prices!AL87-1</f>
        <v/>
      </c>
      <c r="AM84" s="32">
        <f>Raw_Adjusted_Prices!AM88/Raw_Adjusted_Prices!AM87-1</f>
        <v/>
      </c>
      <c r="AN84" s="32">
        <f>Raw_Adjusted_Prices!AN88/Raw_Adjusted_Prices!AN87-1</f>
        <v/>
      </c>
    </row>
    <row r="85">
      <c r="A85" s="31" t="inlineStr">
        <is>
          <t>2021-12-01</t>
        </is>
      </c>
      <c r="B85" s="32">
        <f>Raw_Adjusted_Prices!B89/Raw_Adjusted_Prices!B88-1</f>
        <v/>
      </c>
      <c r="C85" s="32">
        <f>Raw_Adjusted_Prices!C89/Raw_Adjusted_Prices!C88-1</f>
        <v/>
      </c>
      <c r="D85" s="32">
        <f>Raw_Adjusted_Prices!D89/Raw_Adjusted_Prices!D88-1</f>
        <v/>
      </c>
      <c r="E85" s="32">
        <f>Raw_Adjusted_Prices!E89/Raw_Adjusted_Prices!E88-1</f>
        <v/>
      </c>
      <c r="F85" s="32">
        <f>Raw_Adjusted_Prices!F89/Raw_Adjusted_Prices!F88-1</f>
        <v/>
      </c>
      <c r="G85" s="32">
        <f>Raw_Adjusted_Prices!G89/Raw_Adjusted_Prices!G88-1</f>
        <v/>
      </c>
      <c r="H85" s="32">
        <f>Raw_Adjusted_Prices!H89/Raw_Adjusted_Prices!H88-1</f>
        <v/>
      </c>
      <c r="I85" s="32">
        <f>Raw_Adjusted_Prices!I89/Raw_Adjusted_Prices!I88-1</f>
        <v/>
      </c>
      <c r="J85" s="32">
        <f>Raw_Adjusted_Prices!J89/Raw_Adjusted_Prices!J88-1</f>
        <v/>
      </c>
      <c r="K85" s="32">
        <f>Raw_Adjusted_Prices!K89/Raw_Adjusted_Prices!K88-1</f>
        <v/>
      </c>
      <c r="L85" s="32">
        <f>Raw_Adjusted_Prices!L89/Raw_Adjusted_Prices!L88-1</f>
        <v/>
      </c>
      <c r="M85" s="32">
        <f>Raw_Adjusted_Prices!M89/Raw_Adjusted_Prices!M88-1</f>
        <v/>
      </c>
      <c r="N85" s="32">
        <f>Raw_Adjusted_Prices!N89/Raw_Adjusted_Prices!N88-1</f>
        <v/>
      </c>
      <c r="O85" s="32">
        <f>Raw_Adjusted_Prices!O89/Raw_Adjusted_Prices!O88-1</f>
        <v/>
      </c>
      <c r="P85" s="32">
        <f>Raw_Adjusted_Prices!P89/Raw_Adjusted_Prices!P88-1</f>
        <v/>
      </c>
      <c r="Q85" s="32">
        <f>Raw_Adjusted_Prices!Q89/Raw_Adjusted_Prices!Q88-1</f>
        <v/>
      </c>
      <c r="R85" s="32">
        <f>Raw_Adjusted_Prices!R89/Raw_Adjusted_Prices!R88-1</f>
        <v/>
      </c>
      <c r="S85" s="32">
        <f>Raw_Adjusted_Prices!S89/Raw_Adjusted_Prices!S88-1</f>
        <v/>
      </c>
      <c r="T85" s="32">
        <f>Raw_Adjusted_Prices!T89/Raw_Adjusted_Prices!T88-1</f>
        <v/>
      </c>
      <c r="U85" s="32">
        <f>Raw_Adjusted_Prices!U89/Raw_Adjusted_Prices!U88-1</f>
        <v/>
      </c>
      <c r="V85" s="32">
        <f>Raw_Adjusted_Prices!V89/Raw_Adjusted_Prices!V88-1</f>
        <v/>
      </c>
      <c r="W85" s="32">
        <f>Raw_Adjusted_Prices!W89/Raw_Adjusted_Prices!W88-1</f>
        <v/>
      </c>
      <c r="X85" s="32">
        <f>Raw_Adjusted_Prices!X89/Raw_Adjusted_Prices!X88-1</f>
        <v/>
      </c>
      <c r="Y85" s="32">
        <f>Raw_Adjusted_Prices!Y89/Raw_Adjusted_Prices!Y88-1</f>
        <v/>
      </c>
      <c r="Z85" s="32">
        <f>Raw_Adjusted_Prices!Z89/Raw_Adjusted_Prices!Z88-1</f>
        <v/>
      </c>
      <c r="AA85" s="32">
        <f>Raw_Adjusted_Prices!AA89/Raw_Adjusted_Prices!AA88-1</f>
        <v/>
      </c>
      <c r="AB85" s="32">
        <f>Raw_Adjusted_Prices!AB89/Raw_Adjusted_Prices!AB88-1</f>
        <v/>
      </c>
      <c r="AC85" s="32">
        <f>Raw_Adjusted_Prices!AC89/Raw_Adjusted_Prices!AC88-1</f>
        <v/>
      </c>
      <c r="AD85" s="32">
        <f>Raw_Adjusted_Prices!AD89/Raw_Adjusted_Prices!AD88-1</f>
        <v/>
      </c>
      <c r="AE85" s="32">
        <f>Raw_Adjusted_Prices!AE89/Raw_Adjusted_Prices!AE88-1</f>
        <v/>
      </c>
      <c r="AF85" s="32">
        <f>Raw_Adjusted_Prices!AF89/Raw_Adjusted_Prices!AF88-1</f>
        <v/>
      </c>
      <c r="AG85" s="32">
        <f>Raw_Adjusted_Prices!AG89/Raw_Adjusted_Prices!AG88-1</f>
        <v/>
      </c>
      <c r="AH85" s="32">
        <f>Raw_Adjusted_Prices!AH89/Raw_Adjusted_Prices!AH88-1</f>
        <v/>
      </c>
      <c r="AI85" s="32">
        <f>Raw_Adjusted_Prices!AI89/Raw_Adjusted_Prices!AI88-1</f>
        <v/>
      </c>
      <c r="AJ85" s="32">
        <f>Raw_Adjusted_Prices!AJ89/Raw_Adjusted_Prices!AJ88-1</f>
        <v/>
      </c>
      <c r="AK85" s="32">
        <f>Raw_Adjusted_Prices!AK89/Raw_Adjusted_Prices!AK88-1</f>
        <v/>
      </c>
      <c r="AL85" s="32">
        <f>Raw_Adjusted_Prices!AL89/Raw_Adjusted_Prices!AL88-1</f>
        <v/>
      </c>
      <c r="AM85" s="32">
        <f>Raw_Adjusted_Prices!AM89/Raw_Adjusted_Prices!AM88-1</f>
        <v/>
      </c>
      <c r="AN85" s="32">
        <f>Raw_Adjusted_Prices!AN89/Raw_Adjusted_Prices!AN88-1</f>
        <v/>
      </c>
    </row>
    <row r="86">
      <c r="A86" s="31" t="inlineStr">
        <is>
          <t>2022-01-01</t>
        </is>
      </c>
      <c r="B86" s="32">
        <f>Raw_Adjusted_Prices!B90/Raw_Adjusted_Prices!B89-1</f>
        <v/>
      </c>
      <c r="C86" s="32">
        <f>Raw_Adjusted_Prices!C90/Raw_Adjusted_Prices!C89-1</f>
        <v/>
      </c>
      <c r="D86" s="32">
        <f>Raw_Adjusted_Prices!D90/Raw_Adjusted_Prices!D89-1</f>
        <v/>
      </c>
      <c r="E86" s="32">
        <f>Raw_Adjusted_Prices!E90/Raw_Adjusted_Prices!E89-1</f>
        <v/>
      </c>
      <c r="F86" s="32">
        <f>Raw_Adjusted_Prices!F90/Raw_Adjusted_Prices!F89-1</f>
        <v/>
      </c>
      <c r="G86" s="32">
        <f>Raw_Adjusted_Prices!G90/Raw_Adjusted_Prices!G89-1</f>
        <v/>
      </c>
      <c r="H86" s="32">
        <f>Raw_Adjusted_Prices!H90/Raw_Adjusted_Prices!H89-1</f>
        <v/>
      </c>
      <c r="I86" s="32">
        <f>Raw_Adjusted_Prices!I90/Raw_Adjusted_Prices!I89-1</f>
        <v/>
      </c>
      <c r="J86" s="32">
        <f>Raw_Adjusted_Prices!J90/Raw_Adjusted_Prices!J89-1</f>
        <v/>
      </c>
      <c r="K86" s="32">
        <f>Raw_Adjusted_Prices!K90/Raw_Adjusted_Prices!K89-1</f>
        <v/>
      </c>
      <c r="L86" s="32">
        <f>Raw_Adjusted_Prices!L90/Raw_Adjusted_Prices!L89-1</f>
        <v/>
      </c>
      <c r="M86" s="32">
        <f>Raw_Adjusted_Prices!M90/Raw_Adjusted_Prices!M89-1</f>
        <v/>
      </c>
      <c r="N86" s="32">
        <f>Raw_Adjusted_Prices!N90/Raw_Adjusted_Prices!N89-1</f>
        <v/>
      </c>
      <c r="O86" s="32">
        <f>Raw_Adjusted_Prices!O90/Raw_Adjusted_Prices!O89-1</f>
        <v/>
      </c>
      <c r="P86" s="32">
        <f>Raw_Adjusted_Prices!P90/Raw_Adjusted_Prices!P89-1</f>
        <v/>
      </c>
      <c r="Q86" s="32">
        <f>Raw_Adjusted_Prices!Q90/Raw_Adjusted_Prices!Q89-1</f>
        <v/>
      </c>
      <c r="R86" s="32">
        <f>Raw_Adjusted_Prices!R90/Raw_Adjusted_Prices!R89-1</f>
        <v/>
      </c>
      <c r="S86" s="32">
        <f>Raw_Adjusted_Prices!S90/Raw_Adjusted_Prices!S89-1</f>
        <v/>
      </c>
      <c r="T86" s="32">
        <f>Raw_Adjusted_Prices!T90/Raw_Adjusted_Prices!T89-1</f>
        <v/>
      </c>
      <c r="U86" s="32">
        <f>Raw_Adjusted_Prices!U90/Raw_Adjusted_Prices!U89-1</f>
        <v/>
      </c>
      <c r="V86" s="32">
        <f>Raw_Adjusted_Prices!V90/Raw_Adjusted_Prices!V89-1</f>
        <v/>
      </c>
      <c r="W86" s="32">
        <f>Raw_Adjusted_Prices!W90/Raw_Adjusted_Prices!W89-1</f>
        <v/>
      </c>
      <c r="X86" s="32">
        <f>Raw_Adjusted_Prices!X90/Raw_Adjusted_Prices!X89-1</f>
        <v/>
      </c>
      <c r="Y86" s="32">
        <f>Raw_Adjusted_Prices!Y90/Raw_Adjusted_Prices!Y89-1</f>
        <v/>
      </c>
      <c r="Z86" s="32">
        <f>Raw_Adjusted_Prices!Z90/Raw_Adjusted_Prices!Z89-1</f>
        <v/>
      </c>
      <c r="AA86" s="32">
        <f>Raw_Adjusted_Prices!AA90/Raw_Adjusted_Prices!AA89-1</f>
        <v/>
      </c>
      <c r="AB86" s="32">
        <f>Raw_Adjusted_Prices!AB90/Raw_Adjusted_Prices!AB89-1</f>
        <v/>
      </c>
      <c r="AC86" s="32">
        <f>Raw_Adjusted_Prices!AC90/Raw_Adjusted_Prices!AC89-1</f>
        <v/>
      </c>
      <c r="AD86" s="32">
        <f>Raw_Adjusted_Prices!AD90/Raw_Adjusted_Prices!AD89-1</f>
        <v/>
      </c>
      <c r="AE86" s="32">
        <f>Raw_Adjusted_Prices!AE90/Raw_Adjusted_Prices!AE89-1</f>
        <v/>
      </c>
      <c r="AF86" s="32">
        <f>Raw_Adjusted_Prices!AF90/Raw_Adjusted_Prices!AF89-1</f>
        <v/>
      </c>
      <c r="AG86" s="32">
        <f>Raw_Adjusted_Prices!AG90/Raw_Adjusted_Prices!AG89-1</f>
        <v/>
      </c>
      <c r="AH86" s="32">
        <f>Raw_Adjusted_Prices!AH90/Raw_Adjusted_Prices!AH89-1</f>
        <v/>
      </c>
      <c r="AI86" s="32">
        <f>Raw_Adjusted_Prices!AI90/Raw_Adjusted_Prices!AI89-1</f>
        <v/>
      </c>
      <c r="AJ86" s="32">
        <f>Raw_Adjusted_Prices!AJ90/Raw_Adjusted_Prices!AJ89-1</f>
        <v/>
      </c>
      <c r="AK86" s="32">
        <f>Raw_Adjusted_Prices!AK90/Raw_Adjusted_Prices!AK89-1</f>
        <v/>
      </c>
      <c r="AL86" s="32">
        <f>Raw_Adjusted_Prices!AL90/Raw_Adjusted_Prices!AL89-1</f>
        <v/>
      </c>
      <c r="AM86" s="32">
        <f>Raw_Adjusted_Prices!AM90/Raw_Adjusted_Prices!AM89-1</f>
        <v/>
      </c>
      <c r="AN86" s="32">
        <f>Raw_Adjusted_Prices!AN90/Raw_Adjusted_Prices!AN89-1</f>
        <v/>
      </c>
    </row>
    <row r="87">
      <c r="A87" s="31" t="inlineStr">
        <is>
          <t>2022-02-01</t>
        </is>
      </c>
      <c r="B87" s="32">
        <f>Raw_Adjusted_Prices!B91/Raw_Adjusted_Prices!B90-1</f>
        <v/>
      </c>
      <c r="C87" s="32">
        <f>Raw_Adjusted_Prices!C91/Raw_Adjusted_Prices!C90-1</f>
        <v/>
      </c>
      <c r="D87" s="32">
        <f>Raw_Adjusted_Prices!D91/Raw_Adjusted_Prices!D90-1</f>
        <v/>
      </c>
      <c r="E87" s="32">
        <f>Raw_Adjusted_Prices!E91/Raw_Adjusted_Prices!E90-1</f>
        <v/>
      </c>
      <c r="F87" s="32">
        <f>Raw_Adjusted_Prices!F91/Raw_Adjusted_Prices!F90-1</f>
        <v/>
      </c>
      <c r="G87" s="32">
        <f>Raw_Adjusted_Prices!G91/Raw_Adjusted_Prices!G90-1</f>
        <v/>
      </c>
      <c r="H87" s="32">
        <f>Raw_Adjusted_Prices!H91/Raw_Adjusted_Prices!H90-1</f>
        <v/>
      </c>
      <c r="I87" s="32">
        <f>Raw_Adjusted_Prices!I91/Raw_Adjusted_Prices!I90-1</f>
        <v/>
      </c>
      <c r="J87" s="32">
        <f>Raw_Adjusted_Prices!J91/Raw_Adjusted_Prices!J90-1</f>
        <v/>
      </c>
      <c r="K87" s="32">
        <f>Raw_Adjusted_Prices!K91/Raw_Adjusted_Prices!K90-1</f>
        <v/>
      </c>
      <c r="L87" s="32">
        <f>Raw_Adjusted_Prices!L91/Raw_Adjusted_Prices!L90-1</f>
        <v/>
      </c>
      <c r="M87" s="32">
        <f>Raw_Adjusted_Prices!M91/Raw_Adjusted_Prices!M90-1</f>
        <v/>
      </c>
      <c r="N87" s="32">
        <f>Raw_Adjusted_Prices!N91/Raw_Adjusted_Prices!N90-1</f>
        <v/>
      </c>
      <c r="O87" s="32">
        <f>Raw_Adjusted_Prices!O91/Raw_Adjusted_Prices!O90-1</f>
        <v/>
      </c>
      <c r="P87" s="32">
        <f>Raw_Adjusted_Prices!P91/Raw_Adjusted_Prices!P90-1</f>
        <v/>
      </c>
      <c r="Q87" s="32">
        <f>Raw_Adjusted_Prices!Q91/Raw_Adjusted_Prices!Q90-1</f>
        <v/>
      </c>
      <c r="R87" s="32">
        <f>Raw_Adjusted_Prices!R91/Raw_Adjusted_Prices!R90-1</f>
        <v/>
      </c>
      <c r="S87" s="32">
        <f>Raw_Adjusted_Prices!S91/Raw_Adjusted_Prices!S90-1</f>
        <v/>
      </c>
      <c r="T87" s="32">
        <f>Raw_Adjusted_Prices!T91/Raw_Adjusted_Prices!T90-1</f>
        <v/>
      </c>
      <c r="U87" s="32">
        <f>Raw_Adjusted_Prices!U91/Raw_Adjusted_Prices!U90-1</f>
        <v/>
      </c>
      <c r="V87" s="32">
        <f>Raw_Adjusted_Prices!V91/Raw_Adjusted_Prices!V90-1</f>
        <v/>
      </c>
      <c r="W87" s="32">
        <f>Raw_Adjusted_Prices!W91/Raw_Adjusted_Prices!W90-1</f>
        <v/>
      </c>
      <c r="X87" s="32">
        <f>Raw_Adjusted_Prices!X91/Raw_Adjusted_Prices!X90-1</f>
        <v/>
      </c>
      <c r="Y87" s="32">
        <f>Raw_Adjusted_Prices!Y91/Raw_Adjusted_Prices!Y90-1</f>
        <v/>
      </c>
      <c r="Z87" s="32">
        <f>Raw_Adjusted_Prices!Z91/Raw_Adjusted_Prices!Z90-1</f>
        <v/>
      </c>
      <c r="AA87" s="32">
        <f>Raw_Adjusted_Prices!AA91/Raw_Adjusted_Prices!AA90-1</f>
        <v/>
      </c>
      <c r="AB87" s="32">
        <f>Raw_Adjusted_Prices!AB91/Raw_Adjusted_Prices!AB90-1</f>
        <v/>
      </c>
      <c r="AC87" s="32">
        <f>Raw_Adjusted_Prices!AC91/Raw_Adjusted_Prices!AC90-1</f>
        <v/>
      </c>
      <c r="AD87" s="32">
        <f>Raw_Adjusted_Prices!AD91/Raw_Adjusted_Prices!AD90-1</f>
        <v/>
      </c>
      <c r="AE87" s="32">
        <f>Raw_Adjusted_Prices!AE91/Raw_Adjusted_Prices!AE90-1</f>
        <v/>
      </c>
      <c r="AF87" s="32">
        <f>Raw_Adjusted_Prices!AF91/Raw_Adjusted_Prices!AF90-1</f>
        <v/>
      </c>
      <c r="AG87" s="32">
        <f>Raw_Adjusted_Prices!AG91/Raw_Adjusted_Prices!AG90-1</f>
        <v/>
      </c>
      <c r="AH87" s="32">
        <f>Raw_Adjusted_Prices!AH91/Raw_Adjusted_Prices!AH90-1</f>
        <v/>
      </c>
      <c r="AI87" s="32">
        <f>Raw_Adjusted_Prices!AI91/Raw_Adjusted_Prices!AI90-1</f>
        <v/>
      </c>
      <c r="AJ87" s="32">
        <f>Raw_Adjusted_Prices!AJ91/Raw_Adjusted_Prices!AJ90-1</f>
        <v/>
      </c>
      <c r="AK87" s="32">
        <f>Raw_Adjusted_Prices!AK91/Raw_Adjusted_Prices!AK90-1</f>
        <v/>
      </c>
      <c r="AL87" s="32">
        <f>Raw_Adjusted_Prices!AL91/Raw_Adjusted_Prices!AL90-1</f>
        <v/>
      </c>
      <c r="AM87" s="32">
        <f>Raw_Adjusted_Prices!AM91/Raw_Adjusted_Prices!AM90-1</f>
        <v/>
      </c>
      <c r="AN87" s="32">
        <f>Raw_Adjusted_Prices!AN91/Raw_Adjusted_Prices!AN90-1</f>
        <v/>
      </c>
    </row>
    <row r="88">
      <c r="A88" s="31" t="inlineStr">
        <is>
          <t>2022-03-01</t>
        </is>
      </c>
      <c r="B88" s="32">
        <f>Raw_Adjusted_Prices!B92/Raw_Adjusted_Prices!B91-1</f>
        <v/>
      </c>
      <c r="C88" s="32">
        <f>Raw_Adjusted_Prices!C92/Raw_Adjusted_Prices!C91-1</f>
        <v/>
      </c>
      <c r="D88" s="32">
        <f>Raw_Adjusted_Prices!D92/Raw_Adjusted_Prices!D91-1</f>
        <v/>
      </c>
      <c r="E88" s="32">
        <f>Raw_Adjusted_Prices!E92/Raw_Adjusted_Prices!E91-1</f>
        <v/>
      </c>
      <c r="F88" s="32">
        <f>Raw_Adjusted_Prices!F92/Raw_Adjusted_Prices!F91-1</f>
        <v/>
      </c>
      <c r="G88" s="32">
        <f>Raw_Adjusted_Prices!G92/Raw_Adjusted_Prices!G91-1</f>
        <v/>
      </c>
      <c r="H88" s="32">
        <f>Raw_Adjusted_Prices!H92/Raw_Adjusted_Prices!H91-1</f>
        <v/>
      </c>
      <c r="I88" s="32">
        <f>Raw_Adjusted_Prices!I92/Raw_Adjusted_Prices!I91-1</f>
        <v/>
      </c>
      <c r="J88" s="32">
        <f>Raw_Adjusted_Prices!J92/Raw_Adjusted_Prices!J91-1</f>
        <v/>
      </c>
      <c r="K88" s="32">
        <f>Raw_Adjusted_Prices!K92/Raw_Adjusted_Prices!K91-1</f>
        <v/>
      </c>
      <c r="L88" s="32">
        <f>Raw_Adjusted_Prices!L92/Raw_Adjusted_Prices!L91-1</f>
        <v/>
      </c>
      <c r="M88" s="32">
        <f>Raw_Adjusted_Prices!M92/Raw_Adjusted_Prices!M91-1</f>
        <v/>
      </c>
      <c r="N88" s="32">
        <f>Raw_Adjusted_Prices!N92/Raw_Adjusted_Prices!N91-1</f>
        <v/>
      </c>
      <c r="O88" s="32">
        <f>Raw_Adjusted_Prices!O92/Raw_Adjusted_Prices!O91-1</f>
        <v/>
      </c>
      <c r="P88" s="32">
        <f>Raw_Adjusted_Prices!P92/Raw_Adjusted_Prices!P91-1</f>
        <v/>
      </c>
      <c r="Q88" s="32">
        <f>Raw_Adjusted_Prices!Q92/Raw_Adjusted_Prices!Q91-1</f>
        <v/>
      </c>
      <c r="R88" s="32">
        <f>Raw_Adjusted_Prices!R92/Raw_Adjusted_Prices!R91-1</f>
        <v/>
      </c>
      <c r="S88" s="32">
        <f>Raw_Adjusted_Prices!S92/Raw_Adjusted_Prices!S91-1</f>
        <v/>
      </c>
      <c r="T88" s="32">
        <f>Raw_Adjusted_Prices!T92/Raw_Adjusted_Prices!T91-1</f>
        <v/>
      </c>
      <c r="U88" s="32">
        <f>Raw_Adjusted_Prices!U92/Raw_Adjusted_Prices!U91-1</f>
        <v/>
      </c>
      <c r="V88" s="32">
        <f>Raw_Adjusted_Prices!V92/Raw_Adjusted_Prices!V91-1</f>
        <v/>
      </c>
      <c r="W88" s="32">
        <f>Raw_Adjusted_Prices!W92/Raw_Adjusted_Prices!W91-1</f>
        <v/>
      </c>
      <c r="X88" s="32">
        <f>Raw_Adjusted_Prices!X92/Raw_Adjusted_Prices!X91-1</f>
        <v/>
      </c>
      <c r="Y88" s="32">
        <f>Raw_Adjusted_Prices!Y92/Raw_Adjusted_Prices!Y91-1</f>
        <v/>
      </c>
      <c r="Z88" s="32">
        <f>Raw_Adjusted_Prices!Z92/Raw_Adjusted_Prices!Z91-1</f>
        <v/>
      </c>
      <c r="AA88" s="32">
        <f>Raw_Adjusted_Prices!AA92/Raw_Adjusted_Prices!AA91-1</f>
        <v/>
      </c>
      <c r="AB88" s="32">
        <f>Raw_Adjusted_Prices!AB92/Raw_Adjusted_Prices!AB91-1</f>
        <v/>
      </c>
      <c r="AC88" s="32">
        <f>Raw_Adjusted_Prices!AC92/Raw_Adjusted_Prices!AC91-1</f>
        <v/>
      </c>
      <c r="AD88" s="32">
        <f>Raw_Adjusted_Prices!AD92/Raw_Adjusted_Prices!AD91-1</f>
        <v/>
      </c>
      <c r="AE88" s="32">
        <f>Raw_Adjusted_Prices!AE92/Raw_Adjusted_Prices!AE91-1</f>
        <v/>
      </c>
      <c r="AF88" s="32">
        <f>Raw_Adjusted_Prices!AF92/Raw_Adjusted_Prices!AF91-1</f>
        <v/>
      </c>
      <c r="AG88" s="32">
        <f>Raw_Adjusted_Prices!AG92/Raw_Adjusted_Prices!AG91-1</f>
        <v/>
      </c>
      <c r="AH88" s="32">
        <f>Raw_Adjusted_Prices!AH92/Raw_Adjusted_Prices!AH91-1</f>
        <v/>
      </c>
      <c r="AI88" s="32">
        <f>Raw_Adjusted_Prices!AI92/Raw_Adjusted_Prices!AI91-1</f>
        <v/>
      </c>
      <c r="AJ88" s="32">
        <f>Raw_Adjusted_Prices!AJ92/Raw_Adjusted_Prices!AJ91-1</f>
        <v/>
      </c>
      <c r="AK88" s="32">
        <f>Raw_Adjusted_Prices!AK92/Raw_Adjusted_Prices!AK91-1</f>
        <v/>
      </c>
      <c r="AL88" s="32">
        <f>Raw_Adjusted_Prices!AL92/Raw_Adjusted_Prices!AL91-1</f>
        <v/>
      </c>
      <c r="AM88" s="32">
        <f>Raw_Adjusted_Prices!AM92/Raw_Adjusted_Prices!AM91-1</f>
        <v/>
      </c>
      <c r="AN88" s="32">
        <f>Raw_Adjusted_Prices!AN92/Raw_Adjusted_Prices!AN91-1</f>
        <v/>
      </c>
    </row>
    <row r="89">
      <c r="A89" s="31" t="inlineStr">
        <is>
          <t>2022-04-01</t>
        </is>
      </c>
      <c r="B89" s="32">
        <f>Raw_Adjusted_Prices!B93/Raw_Adjusted_Prices!B92-1</f>
        <v/>
      </c>
      <c r="C89" s="32">
        <f>Raw_Adjusted_Prices!C93/Raw_Adjusted_Prices!C92-1</f>
        <v/>
      </c>
      <c r="D89" s="32">
        <f>Raw_Adjusted_Prices!D93/Raw_Adjusted_Prices!D92-1</f>
        <v/>
      </c>
      <c r="E89" s="32">
        <f>Raw_Adjusted_Prices!E93/Raw_Adjusted_Prices!E92-1</f>
        <v/>
      </c>
      <c r="F89" s="32">
        <f>Raw_Adjusted_Prices!F93/Raw_Adjusted_Prices!F92-1</f>
        <v/>
      </c>
      <c r="G89" s="32">
        <f>Raw_Adjusted_Prices!G93/Raw_Adjusted_Prices!G92-1</f>
        <v/>
      </c>
      <c r="H89" s="32">
        <f>Raw_Adjusted_Prices!H93/Raw_Adjusted_Prices!H92-1</f>
        <v/>
      </c>
      <c r="I89" s="32">
        <f>Raw_Adjusted_Prices!I93/Raw_Adjusted_Prices!I92-1</f>
        <v/>
      </c>
      <c r="J89" s="32">
        <f>Raw_Adjusted_Prices!J93/Raw_Adjusted_Prices!J92-1</f>
        <v/>
      </c>
      <c r="K89" s="32">
        <f>Raw_Adjusted_Prices!K93/Raw_Adjusted_Prices!K92-1</f>
        <v/>
      </c>
      <c r="L89" s="32">
        <f>Raw_Adjusted_Prices!L93/Raw_Adjusted_Prices!L92-1</f>
        <v/>
      </c>
      <c r="M89" s="32">
        <f>Raw_Adjusted_Prices!M93/Raw_Adjusted_Prices!M92-1</f>
        <v/>
      </c>
      <c r="N89" s="32">
        <f>Raw_Adjusted_Prices!N93/Raw_Adjusted_Prices!N92-1</f>
        <v/>
      </c>
      <c r="O89" s="32">
        <f>Raw_Adjusted_Prices!O93/Raw_Adjusted_Prices!O92-1</f>
        <v/>
      </c>
      <c r="P89" s="32">
        <f>Raw_Adjusted_Prices!P93/Raw_Adjusted_Prices!P92-1</f>
        <v/>
      </c>
      <c r="Q89" s="32">
        <f>Raw_Adjusted_Prices!Q93/Raw_Adjusted_Prices!Q92-1</f>
        <v/>
      </c>
      <c r="R89" s="32">
        <f>Raw_Adjusted_Prices!R93/Raw_Adjusted_Prices!R92-1</f>
        <v/>
      </c>
      <c r="S89" s="32">
        <f>Raw_Adjusted_Prices!S93/Raw_Adjusted_Prices!S92-1</f>
        <v/>
      </c>
      <c r="T89" s="32">
        <f>Raw_Adjusted_Prices!T93/Raw_Adjusted_Prices!T92-1</f>
        <v/>
      </c>
      <c r="U89" s="32">
        <f>Raw_Adjusted_Prices!U93/Raw_Adjusted_Prices!U92-1</f>
        <v/>
      </c>
      <c r="V89" s="32">
        <f>Raw_Adjusted_Prices!V93/Raw_Adjusted_Prices!V92-1</f>
        <v/>
      </c>
      <c r="W89" s="32">
        <f>Raw_Adjusted_Prices!W93/Raw_Adjusted_Prices!W92-1</f>
        <v/>
      </c>
      <c r="X89" s="32">
        <f>Raw_Adjusted_Prices!X93/Raw_Adjusted_Prices!X92-1</f>
        <v/>
      </c>
      <c r="Y89" s="32">
        <f>Raw_Adjusted_Prices!Y93/Raw_Adjusted_Prices!Y92-1</f>
        <v/>
      </c>
      <c r="Z89" s="32">
        <f>Raw_Adjusted_Prices!Z93/Raw_Adjusted_Prices!Z92-1</f>
        <v/>
      </c>
      <c r="AA89" s="32">
        <f>Raw_Adjusted_Prices!AA93/Raw_Adjusted_Prices!AA92-1</f>
        <v/>
      </c>
      <c r="AB89" s="32">
        <f>Raw_Adjusted_Prices!AB93/Raw_Adjusted_Prices!AB92-1</f>
        <v/>
      </c>
      <c r="AC89" s="32">
        <f>Raw_Adjusted_Prices!AC93/Raw_Adjusted_Prices!AC92-1</f>
        <v/>
      </c>
      <c r="AD89" s="32">
        <f>Raw_Adjusted_Prices!AD93/Raw_Adjusted_Prices!AD92-1</f>
        <v/>
      </c>
      <c r="AE89" s="32">
        <f>Raw_Adjusted_Prices!AE93/Raw_Adjusted_Prices!AE92-1</f>
        <v/>
      </c>
      <c r="AF89" s="32">
        <f>Raw_Adjusted_Prices!AF93/Raw_Adjusted_Prices!AF92-1</f>
        <v/>
      </c>
      <c r="AG89" s="32">
        <f>Raw_Adjusted_Prices!AG93/Raw_Adjusted_Prices!AG92-1</f>
        <v/>
      </c>
      <c r="AH89" s="32">
        <f>Raw_Adjusted_Prices!AH93/Raw_Adjusted_Prices!AH92-1</f>
        <v/>
      </c>
      <c r="AI89" s="32">
        <f>Raw_Adjusted_Prices!AI93/Raw_Adjusted_Prices!AI92-1</f>
        <v/>
      </c>
      <c r="AJ89" s="32">
        <f>Raw_Adjusted_Prices!AJ93/Raw_Adjusted_Prices!AJ92-1</f>
        <v/>
      </c>
      <c r="AK89" s="32">
        <f>Raw_Adjusted_Prices!AK93/Raw_Adjusted_Prices!AK92-1</f>
        <v/>
      </c>
      <c r="AL89" s="32">
        <f>Raw_Adjusted_Prices!AL93/Raw_Adjusted_Prices!AL92-1</f>
        <v/>
      </c>
      <c r="AM89" s="32">
        <f>Raw_Adjusted_Prices!AM93/Raw_Adjusted_Prices!AM92-1</f>
        <v/>
      </c>
      <c r="AN89" s="32">
        <f>Raw_Adjusted_Prices!AN93/Raw_Adjusted_Prices!AN92-1</f>
        <v/>
      </c>
    </row>
    <row r="90">
      <c r="A90" s="31" t="inlineStr">
        <is>
          <t>2022-05-01</t>
        </is>
      </c>
      <c r="B90" s="32">
        <f>Raw_Adjusted_Prices!B94/Raw_Adjusted_Prices!B93-1</f>
        <v/>
      </c>
      <c r="C90" s="32">
        <f>Raw_Adjusted_Prices!C94/Raw_Adjusted_Prices!C93-1</f>
        <v/>
      </c>
      <c r="D90" s="32">
        <f>Raw_Adjusted_Prices!D94/Raw_Adjusted_Prices!D93-1</f>
        <v/>
      </c>
      <c r="E90" s="32">
        <f>Raw_Adjusted_Prices!E94/Raw_Adjusted_Prices!E93-1</f>
        <v/>
      </c>
      <c r="F90" s="32">
        <f>Raw_Adjusted_Prices!F94/Raw_Adjusted_Prices!F93-1</f>
        <v/>
      </c>
      <c r="G90" s="32">
        <f>Raw_Adjusted_Prices!G94/Raw_Adjusted_Prices!G93-1</f>
        <v/>
      </c>
      <c r="H90" s="32">
        <f>Raw_Adjusted_Prices!H94/Raw_Adjusted_Prices!H93-1</f>
        <v/>
      </c>
      <c r="I90" s="32">
        <f>Raw_Adjusted_Prices!I94/Raw_Adjusted_Prices!I93-1</f>
        <v/>
      </c>
      <c r="J90" s="32">
        <f>Raw_Adjusted_Prices!J94/Raw_Adjusted_Prices!J93-1</f>
        <v/>
      </c>
      <c r="K90" s="32">
        <f>Raw_Adjusted_Prices!K94/Raw_Adjusted_Prices!K93-1</f>
        <v/>
      </c>
      <c r="L90" s="32">
        <f>Raw_Adjusted_Prices!L94/Raw_Adjusted_Prices!L93-1</f>
        <v/>
      </c>
      <c r="M90" s="32">
        <f>Raw_Adjusted_Prices!M94/Raw_Adjusted_Prices!M93-1</f>
        <v/>
      </c>
      <c r="N90" s="32">
        <f>Raw_Adjusted_Prices!N94/Raw_Adjusted_Prices!N93-1</f>
        <v/>
      </c>
      <c r="O90" s="32">
        <f>Raw_Adjusted_Prices!O94/Raw_Adjusted_Prices!O93-1</f>
        <v/>
      </c>
      <c r="P90" s="32">
        <f>Raw_Adjusted_Prices!P94/Raw_Adjusted_Prices!P93-1</f>
        <v/>
      </c>
      <c r="Q90" s="32">
        <f>Raw_Adjusted_Prices!Q94/Raw_Adjusted_Prices!Q93-1</f>
        <v/>
      </c>
      <c r="R90" s="32">
        <f>Raw_Adjusted_Prices!R94/Raw_Adjusted_Prices!R93-1</f>
        <v/>
      </c>
      <c r="S90" s="32">
        <f>Raw_Adjusted_Prices!S94/Raw_Adjusted_Prices!S93-1</f>
        <v/>
      </c>
      <c r="T90" s="32">
        <f>Raw_Adjusted_Prices!T94/Raw_Adjusted_Prices!T93-1</f>
        <v/>
      </c>
      <c r="U90" s="32">
        <f>Raw_Adjusted_Prices!U94/Raw_Adjusted_Prices!U93-1</f>
        <v/>
      </c>
      <c r="V90" s="32">
        <f>Raw_Adjusted_Prices!V94/Raw_Adjusted_Prices!V93-1</f>
        <v/>
      </c>
      <c r="W90" s="32">
        <f>Raw_Adjusted_Prices!W94/Raw_Adjusted_Prices!W93-1</f>
        <v/>
      </c>
      <c r="X90" s="32">
        <f>Raw_Adjusted_Prices!X94/Raw_Adjusted_Prices!X93-1</f>
        <v/>
      </c>
      <c r="Y90" s="32">
        <f>Raw_Adjusted_Prices!Y94/Raw_Adjusted_Prices!Y93-1</f>
        <v/>
      </c>
      <c r="Z90" s="32">
        <f>Raw_Adjusted_Prices!Z94/Raw_Adjusted_Prices!Z93-1</f>
        <v/>
      </c>
      <c r="AA90" s="32">
        <f>Raw_Adjusted_Prices!AA94/Raw_Adjusted_Prices!AA93-1</f>
        <v/>
      </c>
      <c r="AB90" s="32">
        <f>Raw_Adjusted_Prices!AB94/Raw_Adjusted_Prices!AB93-1</f>
        <v/>
      </c>
      <c r="AC90" s="32">
        <f>Raw_Adjusted_Prices!AC94/Raw_Adjusted_Prices!AC93-1</f>
        <v/>
      </c>
      <c r="AD90" s="32">
        <f>Raw_Adjusted_Prices!AD94/Raw_Adjusted_Prices!AD93-1</f>
        <v/>
      </c>
      <c r="AE90" s="32">
        <f>Raw_Adjusted_Prices!AE94/Raw_Adjusted_Prices!AE93-1</f>
        <v/>
      </c>
      <c r="AF90" s="32">
        <f>Raw_Adjusted_Prices!AF94/Raw_Adjusted_Prices!AF93-1</f>
        <v/>
      </c>
      <c r="AG90" s="32">
        <f>Raw_Adjusted_Prices!AG94/Raw_Adjusted_Prices!AG93-1</f>
        <v/>
      </c>
      <c r="AH90" s="32">
        <f>Raw_Adjusted_Prices!AH94/Raw_Adjusted_Prices!AH93-1</f>
        <v/>
      </c>
      <c r="AI90" s="32">
        <f>Raw_Adjusted_Prices!AI94/Raw_Adjusted_Prices!AI93-1</f>
        <v/>
      </c>
      <c r="AJ90" s="32">
        <f>Raw_Adjusted_Prices!AJ94/Raw_Adjusted_Prices!AJ93-1</f>
        <v/>
      </c>
      <c r="AK90" s="32">
        <f>Raw_Adjusted_Prices!AK94/Raw_Adjusted_Prices!AK93-1</f>
        <v/>
      </c>
      <c r="AL90" s="32">
        <f>Raw_Adjusted_Prices!AL94/Raw_Adjusted_Prices!AL93-1</f>
        <v/>
      </c>
      <c r="AM90" s="32">
        <f>Raw_Adjusted_Prices!AM94/Raw_Adjusted_Prices!AM93-1</f>
        <v/>
      </c>
      <c r="AN90" s="32">
        <f>Raw_Adjusted_Prices!AN94/Raw_Adjusted_Prices!AN93-1</f>
        <v/>
      </c>
    </row>
    <row r="91">
      <c r="A91" s="31" t="inlineStr">
        <is>
          <t>2022-06-01</t>
        </is>
      </c>
      <c r="B91" s="32">
        <f>Raw_Adjusted_Prices!B95/Raw_Adjusted_Prices!B94-1</f>
        <v/>
      </c>
      <c r="C91" s="32">
        <f>Raw_Adjusted_Prices!C95/Raw_Adjusted_Prices!C94-1</f>
        <v/>
      </c>
      <c r="D91" s="32">
        <f>Raw_Adjusted_Prices!D95/Raw_Adjusted_Prices!D94-1</f>
        <v/>
      </c>
      <c r="E91" s="32">
        <f>Raw_Adjusted_Prices!E95/Raw_Adjusted_Prices!E94-1</f>
        <v/>
      </c>
      <c r="F91" s="32">
        <f>Raw_Adjusted_Prices!F95/Raw_Adjusted_Prices!F94-1</f>
        <v/>
      </c>
      <c r="G91" s="32">
        <f>Raw_Adjusted_Prices!G95/Raw_Adjusted_Prices!G94-1</f>
        <v/>
      </c>
      <c r="H91" s="32">
        <f>Raw_Adjusted_Prices!H95/Raw_Adjusted_Prices!H94-1</f>
        <v/>
      </c>
      <c r="I91" s="32">
        <f>Raw_Adjusted_Prices!I95/Raw_Adjusted_Prices!I94-1</f>
        <v/>
      </c>
      <c r="J91" s="32">
        <f>Raw_Adjusted_Prices!J95/Raw_Adjusted_Prices!J94-1</f>
        <v/>
      </c>
      <c r="K91" s="32">
        <f>Raw_Adjusted_Prices!K95/Raw_Adjusted_Prices!K94-1</f>
        <v/>
      </c>
      <c r="L91" s="32">
        <f>Raw_Adjusted_Prices!L95/Raw_Adjusted_Prices!L94-1</f>
        <v/>
      </c>
      <c r="M91" s="32">
        <f>Raw_Adjusted_Prices!M95/Raw_Adjusted_Prices!M94-1</f>
        <v/>
      </c>
      <c r="N91" s="32">
        <f>Raw_Adjusted_Prices!N95/Raw_Adjusted_Prices!N94-1</f>
        <v/>
      </c>
      <c r="O91" s="32">
        <f>Raw_Adjusted_Prices!O95/Raw_Adjusted_Prices!O94-1</f>
        <v/>
      </c>
      <c r="P91" s="32">
        <f>Raw_Adjusted_Prices!P95/Raw_Adjusted_Prices!P94-1</f>
        <v/>
      </c>
      <c r="Q91" s="32">
        <f>Raw_Adjusted_Prices!Q95/Raw_Adjusted_Prices!Q94-1</f>
        <v/>
      </c>
      <c r="R91" s="32">
        <f>Raw_Adjusted_Prices!R95/Raw_Adjusted_Prices!R94-1</f>
        <v/>
      </c>
      <c r="S91" s="32">
        <f>Raw_Adjusted_Prices!S95/Raw_Adjusted_Prices!S94-1</f>
        <v/>
      </c>
      <c r="T91" s="32">
        <f>Raw_Adjusted_Prices!T95/Raw_Adjusted_Prices!T94-1</f>
        <v/>
      </c>
      <c r="U91" s="32">
        <f>Raw_Adjusted_Prices!U95/Raw_Adjusted_Prices!U94-1</f>
        <v/>
      </c>
      <c r="V91" s="32">
        <f>Raw_Adjusted_Prices!V95/Raw_Adjusted_Prices!V94-1</f>
        <v/>
      </c>
      <c r="W91" s="32">
        <f>Raw_Adjusted_Prices!W95/Raw_Adjusted_Prices!W94-1</f>
        <v/>
      </c>
      <c r="X91" s="32">
        <f>Raw_Adjusted_Prices!X95/Raw_Adjusted_Prices!X94-1</f>
        <v/>
      </c>
      <c r="Y91" s="32">
        <f>Raw_Adjusted_Prices!Y95/Raw_Adjusted_Prices!Y94-1</f>
        <v/>
      </c>
      <c r="Z91" s="32">
        <f>Raw_Adjusted_Prices!Z95/Raw_Adjusted_Prices!Z94-1</f>
        <v/>
      </c>
      <c r="AA91" s="32">
        <f>Raw_Adjusted_Prices!AA95/Raw_Adjusted_Prices!AA94-1</f>
        <v/>
      </c>
      <c r="AB91" s="32">
        <f>Raw_Adjusted_Prices!AB95/Raw_Adjusted_Prices!AB94-1</f>
        <v/>
      </c>
      <c r="AC91" s="32">
        <f>Raw_Adjusted_Prices!AC95/Raw_Adjusted_Prices!AC94-1</f>
        <v/>
      </c>
      <c r="AD91" s="32">
        <f>Raw_Adjusted_Prices!AD95/Raw_Adjusted_Prices!AD94-1</f>
        <v/>
      </c>
      <c r="AE91" s="32">
        <f>Raw_Adjusted_Prices!AE95/Raw_Adjusted_Prices!AE94-1</f>
        <v/>
      </c>
      <c r="AF91" s="32">
        <f>Raw_Adjusted_Prices!AF95/Raw_Adjusted_Prices!AF94-1</f>
        <v/>
      </c>
      <c r="AG91" s="32">
        <f>Raw_Adjusted_Prices!AG95/Raw_Adjusted_Prices!AG94-1</f>
        <v/>
      </c>
      <c r="AH91" s="32">
        <f>Raw_Adjusted_Prices!AH95/Raw_Adjusted_Prices!AH94-1</f>
        <v/>
      </c>
      <c r="AI91" s="32">
        <f>Raw_Adjusted_Prices!AI95/Raw_Adjusted_Prices!AI94-1</f>
        <v/>
      </c>
      <c r="AJ91" s="32">
        <f>Raw_Adjusted_Prices!AJ95/Raw_Adjusted_Prices!AJ94-1</f>
        <v/>
      </c>
      <c r="AK91" s="32">
        <f>Raw_Adjusted_Prices!AK95/Raw_Adjusted_Prices!AK94-1</f>
        <v/>
      </c>
      <c r="AL91" s="32">
        <f>Raw_Adjusted_Prices!AL95/Raw_Adjusted_Prices!AL94-1</f>
        <v/>
      </c>
      <c r="AM91" s="32">
        <f>Raw_Adjusted_Prices!AM95/Raw_Adjusted_Prices!AM94-1</f>
        <v/>
      </c>
      <c r="AN91" s="32">
        <f>Raw_Adjusted_Prices!AN95/Raw_Adjusted_Prices!AN94-1</f>
        <v/>
      </c>
    </row>
    <row r="92">
      <c r="A92" s="31" t="inlineStr">
        <is>
          <t>2022-07-01</t>
        </is>
      </c>
      <c r="B92" s="32">
        <f>Raw_Adjusted_Prices!B96/Raw_Adjusted_Prices!B95-1</f>
        <v/>
      </c>
      <c r="C92" s="32">
        <f>Raw_Adjusted_Prices!C96/Raw_Adjusted_Prices!C95-1</f>
        <v/>
      </c>
      <c r="D92" s="32">
        <f>Raw_Adjusted_Prices!D96/Raw_Adjusted_Prices!D95-1</f>
        <v/>
      </c>
      <c r="E92" s="32">
        <f>Raw_Adjusted_Prices!E96/Raw_Adjusted_Prices!E95-1</f>
        <v/>
      </c>
      <c r="F92" s="32">
        <f>Raw_Adjusted_Prices!F96/Raw_Adjusted_Prices!F95-1</f>
        <v/>
      </c>
      <c r="G92" s="32">
        <f>Raw_Adjusted_Prices!G96/Raw_Adjusted_Prices!G95-1</f>
        <v/>
      </c>
      <c r="H92" s="32">
        <f>Raw_Adjusted_Prices!H96/Raw_Adjusted_Prices!H95-1</f>
        <v/>
      </c>
      <c r="I92" s="32">
        <f>Raw_Adjusted_Prices!I96/Raw_Adjusted_Prices!I95-1</f>
        <v/>
      </c>
      <c r="J92" s="32">
        <f>Raw_Adjusted_Prices!J96/Raw_Adjusted_Prices!J95-1</f>
        <v/>
      </c>
      <c r="K92" s="32">
        <f>Raw_Adjusted_Prices!K96/Raw_Adjusted_Prices!K95-1</f>
        <v/>
      </c>
      <c r="L92" s="32">
        <f>Raw_Adjusted_Prices!L96/Raw_Adjusted_Prices!L95-1</f>
        <v/>
      </c>
      <c r="M92" s="32">
        <f>Raw_Adjusted_Prices!M96/Raw_Adjusted_Prices!M95-1</f>
        <v/>
      </c>
      <c r="N92" s="32">
        <f>Raw_Adjusted_Prices!N96/Raw_Adjusted_Prices!N95-1</f>
        <v/>
      </c>
      <c r="O92" s="32">
        <f>Raw_Adjusted_Prices!O96/Raw_Adjusted_Prices!O95-1</f>
        <v/>
      </c>
      <c r="P92" s="32">
        <f>Raw_Adjusted_Prices!P96/Raw_Adjusted_Prices!P95-1</f>
        <v/>
      </c>
      <c r="Q92" s="32">
        <f>Raw_Adjusted_Prices!Q96/Raw_Adjusted_Prices!Q95-1</f>
        <v/>
      </c>
      <c r="R92" s="32">
        <f>Raw_Adjusted_Prices!R96/Raw_Adjusted_Prices!R95-1</f>
        <v/>
      </c>
      <c r="S92" s="32">
        <f>Raw_Adjusted_Prices!S96/Raw_Adjusted_Prices!S95-1</f>
        <v/>
      </c>
      <c r="T92" s="32">
        <f>Raw_Adjusted_Prices!T96/Raw_Adjusted_Prices!T95-1</f>
        <v/>
      </c>
      <c r="U92" s="32">
        <f>Raw_Adjusted_Prices!U96/Raw_Adjusted_Prices!U95-1</f>
        <v/>
      </c>
      <c r="V92" s="32">
        <f>Raw_Adjusted_Prices!V96/Raw_Adjusted_Prices!V95-1</f>
        <v/>
      </c>
      <c r="W92" s="32">
        <f>Raw_Adjusted_Prices!W96/Raw_Adjusted_Prices!W95-1</f>
        <v/>
      </c>
      <c r="X92" s="32">
        <f>Raw_Adjusted_Prices!X96/Raw_Adjusted_Prices!X95-1</f>
        <v/>
      </c>
      <c r="Y92" s="32">
        <f>Raw_Adjusted_Prices!Y96/Raw_Adjusted_Prices!Y95-1</f>
        <v/>
      </c>
      <c r="Z92" s="32">
        <f>Raw_Adjusted_Prices!Z96/Raw_Adjusted_Prices!Z95-1</f>
        <v/>
      </c>
      <c r="AA92" s="32">
        <f>Raw_Adjusted_Prices!AA96/Raw_Adjusted_Prices!AA95-1</f>
        <v/>
      </c>
      <c r="AB92" s="32">
        <f>Raw_Adjusted_Prices!AB96/Raw_Adjusted_Prices!AB95-1</f>
        <v/>
      </c>
      <c r="AC92" s="32">
        <f>Raw_Adjusted_Prices!AC96/Raw_Adjusted_Prices!AC95-1</f>
        <v/>
      </c>
      <c r="AD92" s="32">
        <f>Raw_Adjusted_Prices!AD96/Raw_Adjusted_Prices!AD95-1</f>
        <v/>
      </c>
      <c r="AE92" s="32">
        <f>Raw_Adjusted_Prices!AE96/Raw_Adjusted_Prices!AE95-1</f>
        <v/>
      </c>
      <c r="AF92" s="32">
        <f>Raw_Adjusted_Prices!AF96/Raw_Adjusted_Prices!AF95-1</f>
        <v/>
      </c>
      <c r="AG92" s="32">
        <f>Raw_Adjusted_Prices!AG96/Raw_Adjusted_Prices!AG95-1</f>
        <v/>
      </c>
      <c r="AH92" s="32">
        <f>Raw_Adjusted_Prices!AH96/Raw_Adjusted_Prices!AH95-1</f>
        <v/>
      </c>
      <c r="AI92" s="32">
        <f>Raw_Adjusted_Prices!AI96/Raw_Adjusted_Prices!AI95-1</f>
        <v/>
      </c>
      <c r="AJ92" s="32">
        <f>Raw_Adjusted_Prices!AJ96/Raw_Adjusted_Prices!AJ95-1</f>
        <v/>
      </c>
      <c r="AK92" s="32">
        <f>Raw_Adjusted_Prices!AK96/Raw_Adjusted_Prices!AK95-1</f>
        <v/>
      </c>
      <c r="AL92" s="32">
        <f>Raw_Adjusted_Prices!AL96/Raw_Adjusted_Prices!AL95-1</f>
        <v/>
      </c>
      <c r="AM92" s="32">
        <f>Raw_Adjusted_Prices!AM96/Raw_Adjusted_Prices!AM95-1</f>
        <v/>
      </c>
      <c r="AN92" s="32">
        <f>Raw_Adjusted_Prices!AN96/Raw_Adjusted_Prices!AN95-1</f>
        <v/>
      </c>
    </row>
    <row r="93">
      <c r="A93" s="31" t="inlineStr">
        <is>
          <t>2022-08-01</t>
        </is>
      </c>
      <c r="B93" s="32">
        <f>Raw_Adjusted_Prices!B97/Raw_Adjusted_Prices!B96-1</f>
        <v/>
      </c>
      <c r="C93" s="32">
        <f>Raw_Adjusted_Prices!C97/Raw_Adjusted_Prices!C96-1</f>
        <v/>
      </c>
      <c r="D93" s="32">
        <f>Raw_Adjusted_Prices!D97/Raw_Adjusted_Prices!D96-1</f>
        <v/>
      </c>
      <c r="E93" s="32">
        <f>Raw_Adjusted_Prices!E97/Raw_Adjusted_Prices!E96-1</f>
        <v/>
      </c>
      <c r="F93" s="32">
        <f>Raw_Adjusted_Prices!F97/Raw_Adjusted_Prices!F96-1</f>
        <v/>
      </c>
      <c r="G93" s="32">
        <f>Raw_Adjusted_Prices!G97/Raw_Adjusted_Prices!G96-1</f>
        <v/>
      </c>
      <c r="H93" s="32">
        <f>Raw_Adjusted_Prices!H97/Raw_Adjusted_Prices!H96-1</f>
        <v/>
      </c>
      <c r="I93" s="32">
        <f>Raw_Adjusted_Prices!I97/Raw_Adjusted_Prices!I96-1</f>
        <v/>
      </c>
      <c r="J93" s="32">
        <f>Raw_Adjusted_Prices!J97/Raw_Adjusted_Prices!J96-1</f>
        <v/>
      </c>
      <c r="K93" s="32">
        <f>Raw_Adjusted_Prices!K97/Raw_Adjusted_Prices!K96-1</f>
        <v/>
      </c>
      <c r="L93" s="32">
        <f>Raw_Adjusted_Prices!L97/Raw_Adjusted_Prices!L96-1</f>
        <v/>
      </c>
      <c r="M93" s="32">
        <f>Raw_Adjusted_Prices!M97/Raw_Adjusted_Prices!M96-1</f>
        <v/>
      </c>
      <c r="N93" s="32">
        <f>Raw_Adjusted_Prices!N97/Raw_Adjusted_Prices!N96-1</f>
        <v/>
      </c>
      <c r="O93" s="32">
        <f>Raw_Adjusted_Prices!O97/Raw_Adjusted_Prices!O96-1</f>
        <v/>
      </c>
      <c r="P93" s="32">
        <f>Raw_Adjusted_Prices!P97/Raw_Adjusted_Prices!P96-1</f>
        <v/>
      </c>
      <c r="Q93" s="32">
        <f>Raw_Adjusted_Prices!Q97/Raw_Adjusted_Prices!Q96-1</f>
        <v/>
      </c>
      <c r="R93" s="32">
        <f>Raw_Adjusted_Prices!R97/Raw_Adjusted_Prices!R96-1</f>
        <v/>
      </c>
      <c r="S93" s="32">
        <f>Raw_Adjusted_Prices!S97/Raw_Adjusted_Prices!S96-1</f>
        <v/>
      </c>
      <c r="T93" s="32">
        <f>Raw_Adjusted_Prices!T97/Raw_Adjusted_Prices!T96-1</f>
        <v/>
      </c>
      <c r="U93" s="32">
        <f>Raw_Adjusted_Prices!U97/Raw_Adjusted_Prices!U96-1</f>
        <v/>
      </c>
      <c r="V93" s="32">
        <f>Raw_Adjusted_Prices!V97/Raw_Adjusted_Prices!V96-1</f>
        <v/>
      </c>
      <c r="W93" s="32">
        <f>Raw_Adjusted_Prices!W97/Raw_Adjusted_Prices!W96-1</f>
        <v/>
      </c>
      <c r="X93" s="32">
        <f>Raw_Adjusted_Prices!X97/Raw_Adjusted_Prices!X96-1</f>
        <v/>
      </c>
      <c r="Y93" s="32">
        <f>Raw_Adjusted_Prices!Y97/Raw_Adjusted_Prices!Y96-1</f>
        <v/>
      </c>
      <c r="Z93" s="32">
        <f>Raw_Adjusted_Prices!Z97/Raw_Adjusted_Prices!Z96-1</f>
        <v/>
      </c>
      <c r="AA93" s="32">
        <f>Raw_Adjusted_Prices!AA97/Raw_Adjusted_Prices!AA96-1</f>
        <v/>
      </c>
      <c r="AB93" s="32">
        <f>Raw_Adjusted_Prices!AB97/Raw_Adjusted_Prices!AB96-1</f>
        <v/>
      </c>
      <c r="AC93" s="32">
        <f>Raw_Adjusted_Prices!AC97/Raw_Adjusted_Prices!AC96-1</f>
        <v/>
      </c>
      <c r="AD93" s="32">
        <f>Raw_Adjusted_Prices!AD97/Raw_Adjusted_Prices!AD96-1</f>
        <v/>
      </c>
      <c r="AE93" s="32">
        <f>Raw_Adjusted_Prices!AE97/Raw_Adjusted_Prices!AE96-1</f>
        <v/>
      </c>
      <c r="AF93" s="32">
        <f>Raw_Adjusted_Prices!AF97/Raw_Adjusted_Prices!AF96-1</f>
        <v/>
      </c>
      <c r="AG93" s="32">
        <f>Raw_Adjusted_Prices!AG97/Raw_Adjusted_Prices!AG96-1</f>
        <v/>
      </c>
      <c r="AH93" s="32">
        <f>Raw_Adjusted_Prices!AH97/Raw_Adjusted_Prices!AH96-1</f>
        <v/>
      </c>
      <c r="AI93" s="32">
        <f>Raw_Adjusted_Prices!AI97/Raw_Adjusted_Prices!AI96-1</f>
        <v/>
      </c>
      <c r="AJ93" s="32">
        <f>Raw_Adjusted_Prices!AJ97/Raw_Adjusted_Prices!AJ96-1</f>
        <v/>
      </c>
      <c r="AK93" s="32">
        <f>Raw_Adjusted_Prices!AK97/Raw_Adjusted_Prices!AK96-1</f>
        <v/>
      </c>
      <c r="AL93" s="32">
        <f>Raw_Adjusted_Prices!AL97/Raw_Adjusted_Prices!AL96-1</f>
        <v/>
      </c>
      <c r="AM93" s="32">
        <f>Raw_Adjusted_Prices!AM97/Raw_Adjusted_Prices!AM96-1</f>
        <v/>
      </c>
      <c r="AN93" s="32">
        <f>Raw_Adjusted_Prices!AN97/Raw_Adjusted_Prices!AN96-1</f>
        <v/>
      </c>
    </row>
    <row r="94">
      <c r="A94" s="31" t="inlineStr">
        <is>
          <t>2022-09-01</t>
        </is>
      </c>
      <c r="B94" s="32">
        <f>Raw_Adjusted_Prices!B98/Raw_Adjusted_Prices!B97-1</f>
        <v/>
      </c>
      <c r="C94" s="32">
        <f>Raw_Adjusted_Prices!C98/Raw_Adjusted_Prices!C97-1</f>
        <v/>
      </c>
      <c r="D94" s="32">
        <f>Raw_Adjusted_Prices!D98/Raw_Adjusted_Prices!D97-1</f>
        <v/>
      </c>
      <c r="E94" s="32">
        <f>Raw_Adjusted_Prices!E98/Raw_Adjusted_Prices!E97-1</f>
        <v/>
      </c>
      <c r="F94" s="32">
        <f>Raw_Adjusted_Prices!F98/Raw_Adjusted_Prices!F97-1</f>
        <v/>
      </c>
      <c r="G94" s="32">
        <f>Raw_Adjusted_Prices!G98/Raw_Adjusted_Prices!G97-1</f>
        <v/>
      </c>
      <c r="H94" s="32">
        <f>Raw_Adjusted_Prices!H98/Raw_Adjusted_Prices!H97-1</f>
        <v/>
      </c>
      <c r="I94" s="32">
        <f>Raw_Adjusted_Prices!I98/Raw_Adjusted_Prices!I97-1</f>
        <v/>
      </c>
      <c r="J94" s="32">
        <f>Raw_Adjusted_Prices!J98/Raw_Adjusted_Prices!J97-1</f>
        <v/>
      </c>
      <c r="K94" s="32">
        <f>Raw_Adjusted_Prices!K98/Raw_Adjusted_Prices!K97-1</f>
        <v/>
      </c>
      <c r="L94" s="32">
        <f>Raw_Adjusted_Prices!L98/Raw_Adjusted_Prices!L97-1</f>
        <v/>
      </c>
      <c r="M94" s="32">
        <f>Raw_Adjusted_Prices!M98/Raw_Adjusted_Prices!M97-1</f>
        <v/>
      </c>
      <c r="N94" s="32">
        <f>Raw_Adjusted_Prices!N98/Raw_Adjusted_Prices!N97-1</f>
        <v/>
      </c>
      <c r="O94" s="32">
        <f>Raw_Adjusted_Prices!O98/Raw_Adjusted_Prices!O97-1</f>
        <v/>
      </c>
      <c r="P94" s="32">
        <f>Raw_Adjusted_Prices!P98/Raw_Adjusted_Prices!P97-1</f>
        <v/>
      </c>
      <c r="Q94" s="32">
        <f>Raw_Adjusted_Prices!Q98/Raw_Adjusted_Prices!Q97-1</f>
        <v/>
      </c>
      <c r="R94" s="32">
        <f>Raw_Adjusted_Prices!R98/Raw_Adjusted_Prices!R97-1</f>
        <v/>
      </c>
      <c r="S94" s="32">
        <f>Raw_Adjusted_Prices!S98/Raw_Adjusted_Prices!S97-1</f>
        <v/>
      </c>
      <c r="T94" s="32">
        <f>Raw_Adjusted_Prices!T98/Raw_Adjusted_Prices!T97-1</f>
        <v/>
      </c>
      <c r="U94" s="32">
        <f>Raw_Adjusted_Prices!U98/Raw_Adjusted_Prices!U97-1</f>
        <v/>
      </c>
      <c r="V94" s="32">
        <f>Raw_Adjusted_Prices!V98/Raw_Adjusted_Prices!V97-1</f>
        <v/>
      </c>
      <c r="W94" s="32">
        <f>Raw_Adjusted_Prices!W98/Raw_Adjusted_Prices!W97-1</f>
        <v/>
      </c>
      <c r="X94" s="32">
        <f>Raw_Adjusted_Prices!X98/Raw_Adjusted_Prices!X97-1</f>
        <v/>
      </c>
      <c r="Y94" s="32">
        <f>Raw_Adjusted_Prices!Y98/Raw_Adjusted_Prices!Y97-1</f>
        <v/>
      </c>
      <c r="Z94" s="32">
        <f>Raw_Adjusted_Prices!Z98/Raw_Adjusted_Prices!Z97-1</f>
        <v/>
      </c>
      <c r="AA94" s="32">
        <f>Raw_Adjusted_Prices!AA98/Raw_Adjusted_Prices!AA97-1</f>
        <v/>
      </c>
      <c r="AB94" s="32">
        <f>Raw_Adjusted_Prices!AB98/Raw_Adjusted_Prices!AB97-1</f>
        <v/>
      </c>
      <c r="AC94" s="32">
        <f>Raw_Adjusted_Prices!AC98/Raw_Adjusted_Prices!AC97-1</f>
        <v/>
      </c>
      <c r="AD94" s="32">
        <f>Raw_Adjusted_Prices!AD98/Raw_Adjusted_Prices!AD97-1</f>
        <v/>
      </c>
      <c r="AE94" s="32">
        <f>Raw_Adjusted_Prices!AE98/Raw_Adjusted_Prices!AE97-1</f>
        <v/>
      </c>
      <c r="AF94" s="32">
        <f>Raw_Adjusted_Prices!AF98/Raw_Adjusted_Prices!AF97-1</f>
        <v/>
      </c>
      <c r="AG94" s="32">
        <f>Raw_Adjusted_Prices!AG98/Raw_Adjusted_Prices!AG97-1</f>
        <v/>
      </c>
      <c r="AH94" s="32">
        <f>Raw_Adjusted_Prices!AH98/Raw_Adjusted_Prices!AH97-1</f>
        <v/>
      </c>
      <c r="AI94" s="32">
        <f>Raw_Adjusted_Prices!AI98/Raw_Adjusted_Prices!AI97-1</f>
        <v/>
      </c>
      <c r="AJ94" s="32">
        <f>Raw_Adjusted_Prices!AJ98/Raw_Adjusted_Prices!AJ97-1</f>
        <v/>
      </c>
      <c r="AK94" s="32">
        <f>Raw_Adjusted_Prices!AK98/Raw_Adjusted_Prices!AK97-1</f>
        <v/>
      </c>
      <c r="AL94" s="32">
        <f>Raw_Adjusted_Prices!AL98/Raw_Adjusted_Prices!AL97-1</f>
        <v/>
      </c>
      <c r="AM94" s="32">
        <f>Raw_Adjusted_Prices!AM98/Raw_Adjusted_Prices!AM97-1</f>
        <v/>
      </c>
      <c r="AN94" s="32">
        <f>Raw_Adjusted_Prices!AN98/Raw_Adjusted_Prices!AN97-1</f>
        <v/>
      </c>
    </row>
    <row r="95">
      <c r="A95" s="31" t="inlineStr">
        <is>
          <t>2022-10-01</t>
        </is>
      </c>
      <c r="B95" s="32">
        <f>Raw_Adjusted_Prices!B99/Raw_Adjusted_Prices!B98-1</f>
        <v/>
      </c>
      <c r="C95" s="32">
        <f>Raw_Adjusted_Prices!C99/Raw_Adjusted_Prices!C98-1</f>
        <v/>
      </c>
      <c r="D95" s="32">
        <f>Raw_Adjusted_Prices!D99/Raw_Adjusted_Prices!D98-1</f>
        <v/>
      </c>
      <c r="E95" s="32">
        <f>Raw_Adjusted_Prices!E99/Raw_Adjusted_Prices!E98-1</f>
        <v/>
      </c>
      <c r="F95" s="32">
        <f>Raw_Adjusted_Prices!F99/Raw_Adjusted_Prices!F98-1</f>
        <v/>
      </c>
      <c r="G95" s="32">
        <f>Raw_Adjusted_Prices!G99/Raw_Adjusted_Prices!G98-1</f>
        <v/>
      </c>
      <c r="H95" s="32">
        <f>Raw_Adjusted_Prices!H99/Raw_Adjusted_Prices!H98-1</f>
        <v/>
      </c>
      <c r="I95" s="32">
        <f>Raw_Adjusted_Prices!I99/Raw_Adjusted_Prices!I98-1</f>
        <v/>
      </c>
      <c r="J95" s="32">
        <f>Raw_Adjusted_Prices!J99/Raw_Adjusted_Prices!J98-1</f>
        <v/>
      </c>
      <c r="K95" s="32">
        <f>Raw_Adjusted_Prices!K99/Raw_Adjusted_Prices!K98-1</f>
        <v/>
      </c>
      <c r="L95" s="32">
        <f>Raw_Adjusted_Prices!L99/Raw_Adjusted_Prices!L98-1</f>
        <v/>
      </c>
      <c r="M95" s="32">
        <f>Raw_Adjusted_Prices!M99/Raw_Adjusted_Prices!M98-1</f>
        <v/>
      </c>
      <c r="N95" s="32">
        <f>Raw_Adjusted_Prices!N99/Raw_Adjusted_Prices!N98-1</f>
        <v/>
      </c>
      <c r="O95" s="32">
        <f>Raw_Adjusted_Prices!O99/Raw_Adjusted_Prices!O98-1</f>
        <v/>
      </c>
      <c r="P95" s="32">
        <f>Raw_Adjusted_Prices!P99/Raw_Adjusted_Prices!P98-1</f>
        <v/>
      </c>
      <c r="Q95" s="32">
        <f>Raw_Adjusted_Prices!Q99/Raw_Adjusted_Prices!Q98-1</f>
        <v/>
      </c>
      <c r="R95" s="32">
        <f>Raw_Adjusted_Prices!R99/Raw_Adjusted_Prices!R98-1</f>
        <v/>
      </c>
      <c r="S95" s="32">
        <f>Raw_Adjusted_Prices!S99/Raw_Adjusted_Prices!S98-1</f>
        <v/>
      </c>
      <c r="T95" s="32">
        <f>Raw_Adjusted_Prices!T99/Raw_Adjusted_Prices!T98-1</f>
        <v/>
      </c>
      <c r="U95" s="32">
        <f>Raw_Adjusted_Prices!U99/Raw_Adjusted_Prices!U98-1</f>
        <v/>
      </c>
      <c r="V95" s="32">
        <f>Raw_Adjusted_Prices!V99/Raw_Adjusted_Prices!V98-1</f>
        <v/>
      </c>
      <c r="W95" s="32">
        <f>Raw_Adjusted_Prices!W99/Raw_Adjusted_Prices!W98-1</f>
        <v/>
      </c>
      <c r="X95" s="32">
        <f>Raw_Adjusted_Prices!X99/Raw_Adjusted_Prices!X98-1</f>
        <v/>
      </c>
      <c r="Y95" s="32">
        <f>Raw_Adjusted_Prices!Y99/Raw_Adjusted_Prices!Y98-1</f>
        <v/>
      </c>
      <c r="Z95" s="32">
        <f>Raw_Adjusted_Prices!Z99/Raw_Adjusted_Prices!Z98-1</f>
        <v/>
      </c>
      <c r="AA95" s="32">
        <f>Raw_Adjusted_Prices!AA99/Raw_Adjusted_Prices!AA98-1</f>
        <v/>
      </c>
      <c r="AB95" s="32">
        <f>Raw_Adjusted_Prices!AB99/Raw_Adjusted_Prices!AB98-1</f>
        <v/>
      </c>
      <c r="AC95" s="32">
        <f>Raw_Adjusted_Prices!AC99/Raw_Adjusted_Prices!AC98-1</f>
        <v/>
      </c>
      <c r="AD95" s="32">
        <f>Raw_Adjusted_Prices!AD99/Raw_Adjusted_Prices!AD98-1</f>
        <v/>
      </c>
      <c r="AE95" s="32">
        <f>Raw_Adjusted_Prices!AE99/Raw_Adjusted_Prices!AE98-1</f>
        <v/>
      </c>
      <c r="AF95" s="32">
        <f>Raw_Adjusted_Prices!AF99/Raw_Adjusted_Prices!AF98-1</f>
        <v/>
      </c>
      <c r="AG95" s="32">
        <f>Raw_Adjusted_Prices!AG99/Raw_Adjusted_Prices!AG98-1</f>
        <v/>
      </c>
      <c r="AH95" s="32">
        <f>Raw_Adjusted_Prices!AH99/Raw_Adjusted_Prices!AH98-1</f>
        <v/>
      </c>
      <c r="AI95" s="32">
        <f>Raw_Adjusted_Prices!AI99/Raw_Adjusted_Prices!AI98-1</f>
        <v/>
      </c>
      <c r="AJ95" s="32">
        <f>Raw_Adjusted_Prices!AJ99/Raw_Adjusted_Prices!AJ98-1</f>
        <v/>
      </c>
      <c r="AK95" s="32">
        <f>Raw_Adjusted_Prices!AK99/Raw_Adjusted_Prices!AK98-1</f>
        <v/>
      </c>
      <c r="AL95" s="32">
        <f>Raw_Adjusted_Prices!AL99/Raw_Adjusted_Prices!AL98-1</f>
        <v/>
      </c>
      <c r="AM95" s="32">
        <f>Raw_Adjusted_Prices!AM99/Raw_Adjusted_Prices!AM98-1</f>
        <v/>
      </c>
      <c r="AN95" s="32">
        <f>Raw_Adjusted_Prices!AN99/Raw_Adjusted_Prices!AN98-1</f>
        <v/>
      </c>
    </row>
    <row r="96">
      <c r="A96" s="31" t="inlineStr">
        <is>
          <t>2022-11-01</t>
        </is>
      </c>
      <c r="B96" s="32">
        <f>Raw_Adjusted_Prices!B100/Raw_Adjusted_Prices!B99-1</f>
        <v/>
      </c>
      <c r="C96" s="32">
        <f>Raw_Adjusted_Prices!C100/Raw_Adjusted_Prices!C99-1</f>
        <v/>
      </c>
      <c r="D96" s="32">
        <f>Raw_Adjusted_Prices!D100/Raw_Adjusted_Prices!D99-1</f>
        <v/>
      </c>
      <c r="E96" s="32">
        <f>Raw_Adjusted_Prices!E100/Raw_Adjusted_Prices!E99-1</f>
        <v/>
      </c>
      <c r="F96" s="32">
        <f>Raw_Adjusted_Prices!F100/Raw_Adjusted_Prices!F99-1</f>
        <v/>
      </c>
      <c r="G96" s="32">
        <f>Raw_Adjusted_Prices!G100/Raw_Adjusted_Prices!G99-1</f>
        <v/>
      </c>
      <c r="H96" s="32">
        <f>Raw_Adjusted_Prices!H100/Raw_Adjusted_Prices!H99-1</f>
        <v/>
      </c>
      <c r="I96" s="32">
        <f>Raw_Adjusted_Prices!I100/Raw_Adjusted_Prices!I99-1</f>
        <v/>
      </c>
      <c r="J96" s="32">
        <f>Raw_Adjusted_Prices!J100/Raw_Adjusted_Prices!J99-1</f>
        <v/>
      </c>
      <c r="K96" s="32">
        <f>Raw_Adjusted_Prices!K100/Raw_Adjusted_Prices!K99-1</f>
        <v/>
      </c>
      <c r="L96" s="32">
        <f>Raw_Adjusted_Prices!L100/Raw_Adjusted_Prices!L99-1</f>
        <v/>
      </c>
      <c r="M96" s="32">
        <f>Raw_Adjusted_Prices!M100/Raw_Adjusted_Prices!M99-1</f>
        <v/>
      </c>
      <c r="N96" s="32">
        <f>Raw_Adjusted_Prices!N100/Raw_Adjusted_Prices!N99-1</f>
        <v/>
      </c>
      <c r="O96" s="32">
        <f>Raw_Adjusted_Prices!O100/Raw_Adjusted_Prices!O99-1</f>
        <v/>
      </c>
      <c r="P96" s="32">
        <f>Raw_Adjusted_Prices!P100/Raw_Adjusted_Prices!P99-1</f>
        <v/>
      </c>
      <c r="Q96" s="32">
        <f>Raw_Adjusted_Prices!Q100/Raw_Adjusted_Prices!Q99-1</f>
        <v/>
      </c>
      <c r="R96" s="32">
        <f>Raw_Adjusted_Prices!R100/Raw_Adjusted_Prices!R99-1</f>
        <v/>
      </c>
      <c r="S96" s="32">
        <f>Raw_Adjusted_Prices!S100/Raw_Adjusted_Prices!S99-1</f>
        <v/>
      </c>
      <c r="T96" s="32">
        <f>Raw_Adjusted_Prices!T100/Raw_Adjusted_Prices!T99-1</f>
        <v/>
      </c>
      <c r="U96" s="32">
        <f>Raw_Adjusted_Prices!U100/Raw_Adjusted_Prices!U99-1</f>
        <v/>
      </c>
      <c r="V96" s="32">
        <f>Raw_Adjusted_Prices!V100/Raw_Adjusted_Prices!V99-1</f>
        <v/>
      </c>
      <c r="W96" s="32">
        <f>Raw_Adjusted_Prices!W100/Raw_Adjusted_Prices!W99-1</f>
        <v/>
      </c>
      <c r="X96" s="32">
        <f>Raw_Adjusted_Prices!X100/Raw_Adjusted_Prices!X99-1</f>
        <v/>
      </c>
      <c r="Y96" s="32">
        <f>Raw_Adjusted_Prices!Y100/Raw_Adjusted_Prices!Y99-1</f>
        <v/>
      </c>
      <c r="Z96" s="32">
        <f>Raw_Adjusted_Prices!Z100/Raw_Adjusted_Prices!Z99-1</f>
        <v/>
      </c>
      <c r="AA96" s="32">
        <f>Raw_Adjusted_Prices!AA100/Raw_Adjusted_Prices!AA99-1</f>
        <v/>
      </c>
      <c r="AB96" s="32">
        <f>Raw_Adjusted_Prices!AB100/Raw_Adjusted_Prices!AB99-1</f>
        <v/>
      </c>
      <c r="AC96" s="32">
        <f>Raw_Adjusted_Prices!AC100/Raw_Adjusted_Prices!AC99-1</f>
        <v/>
      </c>
      <c r="AD96" s="32">
        <f>Raw_Adjusted_Prices!AD100/Raw_Adjusted_Prices!AD99-1</f>
        <v/>
      </c>
      <c r="AE96" s="32">
        <f>Raw_Adjusted_Prices!AE100/Raw_Adjusted_Prices!AE99-1</f>
        <v/>
      </c>
      <c r="AF96" s="32">
        <f>Raw_Adjusted_Prices!AF100/Raw_Adjusted_Prices!AF99-1</f>
        <v/>
      </c>
      <c r="AG96" s="32">
        <f>Raw_Adjusted_Prices!AG100/Raw_Adjusted_Prices!AG99-1</f>
        <v/>
      </c>
      <c r="AH96" s="32">
        <f>Raw_Adjusted_Prices!AH100/Raw_Adjusted_Prices!AH99-1</f>
        <v/>
      </c>
      <c r="AI96" s="32">
        <f>Raw_Adjusted_Prices!AI100/Raw_Adjusted_Prices!AI99-1</f>
        <v/>
      </c>
      <c r="AJ96" s="32">
        <f>Raw_Adjusted_Prices!AJ100/Raw_Adjusted_Prices!AJ99-1</f>
        <v/>
      </c>
      <c r="AK96" s="32">
        <f>Raw_Adjusted_Prices!AK100/Raw_Adjusted_Prices!AK99-1</f>
        <v/>
      </c>
      <c r="AL96" s="32">
        <f>Raw_Adjusted_Prices!AL100/Raw_Adjusted_Prices!AL99-1</f>
        <v/>
      </c>
      <c r="AM96" s="32">
        <f>Raw_Adjusted_Prices!AM100/Raw_Adjusted_Prices!AM99-1</f>
        <v/>
      </c>
      <c r="AN96" s="32">
        <f>Raw_Adjusted_Prices!AN100/Raw_Adjusted_Prices!AN99-1</f>
        <v/>
      </c>
    </row>
    <row r="97">
      <c r="A97" s="31" t="inlineStr">
        <is>
          <t>2022-12-01</t>
        </is>
      </c>
      <c r="B97" s="32">
        <f>Raw_Adjusted_Prices!B101/Raw_Adjusted_Prices!B100-1</f>
        <v/>
      </c>
      <c r="C97" s="32">
        <f>Raw_Adjusted_Prices!C101/Raw_Adjusted_Prices!C100-1</f>
        <v/>
      </c>
      <c r="D97" s="32">
        <f>Raw_Adjusted_Prices!D101/Raw_Adjusted_Prices!D100-1</f>
        <v/>
      </c>
      <c r="E97" s="32">
        <f>Raw_Adjusted_Prices!E101/Raw_Adjusted_Prices!E100-1</f>
        <v/>
      </c>
      <c r="F97" s="32">
        <f>Raw_Adjusted_Prices!F101/Raw_Adjusted_Prices!F100-1</f>
        <v/>
      </c>
      <c r="G97" s="32">
        <f>Raw_Adjusted_Prices!G101/Raw_Adjusted_Prices!G100-1</f>
        <v/>
      </c>
      <c r="H97" s="32">
        <f>Raw_Adjusted_Prices!H101/Raw_Adjusted_Prices!H100-1</f>
        <v/>
      </c>
      <c r="I97" s="32">
        <f>Raw_Adjusted_Prices!I101/Raw_Adjusted_Prices!I100-1</f>
        <v/>
      </c>
      <c r="J97" s="32">
        <f>Raw_Adjusted_Prices!J101/Raw_Adjusted_Prices!J100-1</f>
        <v/>
      </c>
      <c r="K97" s="32">
        <f>Raw_Adjusted_Prices!K101/Raw_Adjusted_Prices!K100-1</f>
        <v/>
      </c>
      <c r="L97" s="32">
        <f>Raw_Adjusted_Prices!L101/Raw_Adjusted_Prices!L100-1</f>
        <v/>
      </c>
      <c r="M97" s="32">
        <f>Raw_Adjusted_Prices!M101/Raw_Adjusted_Prices!M100-1</f>
        <v/>
      </c>
      <c r="N97" s="32">
        <f>Raw_Adjusted_Prices!N101/Raw_Adjusted_Prices!N100-1</f>
        <v/>
      </c>
      <c r="O97" s="32">
        <f>Raw_Adjusted_Prices!O101/Raw_Adjusted_Prices!O100-1</f>
        <v/>
      </c>
      <c r="P97" s="32">
        <f>Raw_Adjusted_Prices!P101/Raw_Adjusted_Prices!P100-1</f>
        <v/>
      </c>
      <c r="Q97" s="32">
        <f>Raw_Adjusted_Prices!Q101/Raw_Adjusted_Prices!Q100-1</f>
        <v/>
      </c>
      <c r="R97" s="32">
        <f>Raw_Adjusted_Prices!R101/Raw_Adjusted_Prices!R100-1</f>
        <v/>
      </c>
      <c r="S97" s="32">
        <f>Raw_Adjusted_Prices!S101/Raw_Adjusted_Prices!S100-1</f>
        <v/>
      </c>
      <c r="T97" s="32">
        <f>Raw_Adjusted_Prices!T101/Raw_Adjusted_Prices!T100-1</f>
        <v/>
      </c>
      <c r="U97" s="32">
        <f>Raw_Adjusted_Prices!U101/Raw_Adjusted_Prices!U100-1</f>
        <v/>
      </c>
      <c r="V97" s="32">
        <f>Raw_Adjusted_Prices!V101/Raw_Adjusted_Prices!V100-1</f>
        <v/>
      </c>
      <c r="W97" s="32">
        <f>Raw_Adjusted_Prices!W101/Raw_Adjusted_Prices!W100-1</f>
        <v/>
      </c>
      <c r="X97" s="32">
        <f>Raw_Adjusted_Prices!X101/Raw_Adjusted_Prices!X100-1</f>
        <v/>
      </c>
      <c r="Y97" s="32">
        <f>Raw_Adjusted_Prices!Y101/Raw_Adjusted_Prices!Y100-1</f>
        <v/>
      </c>
      <c r="Z97" s="32">
        <f>Raw_Adjusted_Prices!Z101/Raw_Adjusted_Prices!Z100-1</f>
        <v/>
      </c>
      <c r="AA97" s="32">
        <f>Raw_Adjusted_Prices!AA101/Raw_Adjusted_Prices!AA100-1</f>
        <v/>
      </c>
      <c r="AB97" s="32">
        <f>Raw_Adjusted_Prices!AB101/Raw_Adjusted_Prices!AB100-1</f>
        <v/>
      </c>
      <c r="AC97" s="32">
        <f>Raw_Adjusted_Prices!AC101/Raw_Adjusted_Prices!AC100-1</f>
        <v/>
      </c>
      <c r="AD97" s="32">
        <f>Raw_Adjusted_Prices!AD101/Raw_Adjusted_Prices!AD100-1</f>
        <v/>
      </c>
      <c r="AE97" s="32">
        <f>Raw_Adjusted_Prices!AE101/Raw_Adjusted_Prices!AE100-1</f>
        <v/>
      </c>
      <c r="AF97" s="32">
        <f>Raw_Adjusted_Prices!AF101/Raw_Adjusted_Prices!AF100-1</f>
        <v/>
      </c>
      <c r="AG97" s="32">
        <f>Raw_Adjusted_Prices!AG101/Raw_Adjusted_Prices!AG100-1</f>
        <v/>
      </c>
      <c r="AH97" s="32">
        <f>Raw_Adjusted_Prices!AH101/Raw_Adjusted_Prices!AH100-1</f>
        <v/>
      </c>
      <c r="AI97" s="32">
        <f>Raw_Adjusted_Prices!AI101/Raw_Adjusted_Prices!AI100-1</f>
        <v/>
      </c>
      <c r="AJ97" s="32">
        <f>Raw_Adjusted_Prices!AJ101/Raw_Adjusted_Prices!AJ100-1</f>
        <v/>
      </c>
      <c r="AK97" s="32">
        <f>Raw_Adjusted_Prices!AK101/Raw_Adjusted_Prices!AK100-1</f>
        <v/>
      </c>
      <c r="AL97" s="32">
        <f>Raw_Adjusted_Prices!AL101/Raw_Adjusted_Prices!AL100-1</f>
        <v/>
      </c>
      <c r="AM97" s="32">
        <f>Raw_Adjusted_Prices!AM101/Raw_Adjusted_Prices!AM100-1</f>
        <v/>
      </c>
      <c r="AN97" s="32">
        <f>Raw_Adjusted_Prices!AN101/Raw_Adjusted_Prices!AN100-1</f>
        <v/>
      </c>
    </row>
    <row r="99" ht="22" customHeight="1">
      <c r="A99" s="2" t="inlineStr">
        <is>
          <t>OUT-OF-SAMPLE EVALUATION WINDOW (2023-01-01 to 2025-12-01, 36 Months – Post-Estimation Regime Shift Test)</t>
        </is>
      </c>
    </row>
    <row r="100">
      <c r="A100" s="19" t="inlineStr">
        <is>
          <t>2023-01-01</t>
        </is>
      </c>
      <c r="B100" s="21">
        <f>Raw_Adjusted_Prices!B102/Raw_Adjusted_Prices!B101-1</f>
        <v/>
      </c>
      <c r="C100" s="21">
        <f>Raw_Adjusted_Prices!C102/Raw_Adjusted_Prices!C101-1</f>
        <v/>
      </c>
      <c r="D100" s="21">
        <f>Raw_Adjusted_Prices!D102/Raw_Adjusted_Prices!D101-1</f>
        <v/>
      </c>
      <c r="E100" s="21">
        <f>Raw_Adjusted_Prices!E102/Raw_Adjusted_Prices!E101-1</f>
        <v/>
      </c>
      <c r="F100" s="21">
        <f>Raw_Adjusted_Prices!F102/Raw_Adjusted_Prices!F101-1</f>
        <v/>
      </c>
      <c r="G100" s="21">
        <f>Raw_Adjusted_Prices!G102/Raw_Adjusted_Prices!G101-1</f>
        <v/>
      </c>
      <c r="H100" s="21">
        <f>Raw_Adjusted_Prices!H102/Raw_Adjusted_Prices!H101-1</f>
        <v/>
      </c>
      <c r="I100" s="21">
        <f>Raw_Adjusted_Prices!I102/Raw_Adjusted_Prices!I101-1</f>
        <v/>
      </c>
      <c r="J100" s="21">
        <f>Raw_Adjusted_Prices!J102/Raw_Adjusted_Prices!J101-1</f>
        <v/>
      </c>
      <c r="K100" s="21">
        <f>Raw_Adjusted_Prices!K102/Raw_Adjusted_Prices!K101-1</f>
        <v/>
      </c>
      <c r="L100" s="21">
        <f>Raw_Adjusted_Prices!L102/Raw_Adjusted_Prices!L101-1</f>
        <v/>
      </c>
      <c r="M100" s="21">
        <f>Raw_Adjusted_Prices!M102/Raw_Adjusted_Prices!M101-1</f>
        <v/>
      </c>
      <c r="N100" s="21">
        <f>Raw_Adjusted_Prices!N102/Raw_Adjusted_Prices!N101-1</f>
        <v/>
      </c>
      <c r="O100" s="21">
        <f>Raw_Adjusted_Prices!O102/Raw_Adjusted_Prices!O101-1</f>
        <v/>
      </c>
      <c r="P100" s="21">
        <f>Raw_Adjusted_Prices!P102/Raw_Adjusted_Prices!P101-1</f>
        <v/>
      </c>
      <c r="Q100" s="21">
        <f>Raw_Adjusted_Prices!Q102/Raw_Adjusted_Prices!Q101-1</f>
        <v/>
      </c>
      <c r="R100" s="21">
        <f>Raw_Adjusted_Prices!R102/Raw_Adjusted_Prices!R101-1</f>
        <v/>
      </c>
      <c r="S100" s="21">
        <f>Raw_Adjusted_Prices!S102/Raw_Adjusted_Prices!S101-1</f>
        <v/>
      </c>
      <c r="T100" s="21">
        <f>Raw_Adjusted_Prices!T102/Raw_Adjusted_Prices!T101-1</f>
        <v/>
      </c>
      <c r="U100" s="21">
        <f>Raw_Adjusted_Prices!U102/Raw_Adjusted_Prices!U101-1</f>
        <v/>
      </c>
      <c r="V100" s="21">
        <f>Raw_Adjusted_Prices!V102/Raw_Adjusted_Prices!V101-1</f>
        <v/>
      </c>
      <c r="W100" s="21">
        <f>Raw_Adjusted_Prices!W102/Raw_Adjusted_Prices!W101-1</f>
        <v/>
      </c>
      <c r="X100" s="21">
        <f>Raw_Adjusted_Prices!X102/Raw_Adjusted_Prices!X101-1</f>
        <v/>
      </c>
      <c r="Y100" s="21">
        <f>Raw_Adjusted_Prices!Y102/Raw_Adjusted_Prices!Y101-1</f>
        <v/>
      </c>
      <c r="Z100" s="21">
        <f>Raw_Adjusted_Prices!Z102/Raw_Adjusted_Prices!Z101-1</f>
        <v/>
      </c>
      <c r="AA100" s="21">
        <f>Raw_Adjusted_Prices!AA102/Raw_Adjusted_Prices!AA101-1</f>
        <v/>
      </c>
      <c r="AB100" s="21">
        <f>Raw_Adjusted_Prices!AB102/Raw_Adjusted_Prices!AB101-1</f>
        <v/>
      </c>
      <c r="AC100" s="21">
        <f>Raw_Adjusted_Prices!AC102/Raw_Adjusted_Prices!AC101-1</f>
        <v/>
      </c>
      <c r="AD100" s="21">
        <f>Raw_Adjusted_Prices!AD102/Raw_Adjusted_Prices!AD101-1</f>
        <v/>
      </c>
      <c r="AE100" s="21">
        <f>Raw_Adjusted_Prices!AE102/Raw_Adjusted_Prices!AE101-1</f>
        <v/>
      </c>
      <c r="AF100" s="21">
        <f>Raw_Adjusted_Prices!AF102/Raw_Adjusted_Prices!AF101-1</f>
        <v/>
      </c>
      <c r="AG100" s="21">
        <f>Raw_Adjusted_Prices!AG102/Raw_Adjusted_Prices!AG101-1</f>
        <v/>
      </c>
      <c r="AH100" s="21">
        <f>Raw_Adjusted_Prices!AH102/Raw_Adjusted_Prices!AH101-1</f>
        <v/>
      </c>
      <c r="AI100" s="21">
        <f>Raw_Adjusted_Prices!AI102/Raw_Adjusted_Prices!AI101-1</f>
        <v/>
      </c>
      <c r="AJ100" s="21">
        <f>Raw_Adjusted_Prices!AJ102/Raw_Adjusted_Prices!AJ101-1</f>
        <v/>
      </c>
      <c r="AK100" s="21">
        <f>Raw_Adjusted_Prices!AK102/Raw_Adjusted_Prices!AK101-1</f>
        <v/>
      </c>
      <c r="AL100" s="21">
        <f>Raw_Adjusted_Prices!AL102/Raw_Adjusted_Prices!AL101-1</f>
        <v/>
      </c>
      <c r="AM100" s="21">
        <f>Raw_Adjusted_Prices!AM102/Raw_Adjusted_Prices!AM101-1</f>
        <v/>
      </c>
      <c r="AN100" s="21">
        <f>Raw_Adjusted_Prices!AN102/Raw_Adjusted_Prices!AN101-1</f>
        <v/>
      </c>
    </row>
    <row r="101">
      <c r="A101" s="19" t="inlineStr">
        <is>
          <t>2023-02-01</t>
        </is>
      </c>
      <c r="B101" s="21">
        <f>Raw_Adjusted_Prices!B103/Raw_Adjusted_Prices!B102-1</f>
        <v/>
      </c>
      <c r="C101" s="21">
        <f>Raw_Adjusted_Prices!C103/Raw_Adjusted_Prices!C102-1</f>
        <v/>
      </c>
      <c r="D101" s="21">
        <f>Raw_Adjusted_Prices!D103/Raw_Adjusted_Prices!D102-1</f>
        <v/>
      </c>
      <c r="E101" s="21">
        <f>Raw_Adjusted_Prices!E103/Raw_Adjusted_Prices!E102-1</f>
        <v/>
      </c>
      <c r="F101" s="21">
        <f>Raw_Adjusted_Prices!F103/Raw_Adjusted_Prices!F102-1</f>
        <v/>
      </c>
      <c r="G101" s="21">
        <f>Raw_Adjusted_Prices!G103/Raw_Adjusted_Prices!G102-1</f>
        <v/>
      </c>
      <c r="H101" s="21">
        <f>Raw_Adjusted_Prices!H103/Raw_Adjusted_Prices!H102-1</f>
        <v/>
      </c>
      <c r="I101" s="21">
        <f>Raw_Adjusted_Prices!I103/Raw_Adjusted_Prices!I102-1</f>
        <v/>
      </c>
      <c r="J101" s="21">
        <f>Raw_Adjusted_Prices!J103/Raw_Adjusted_Prices!J102-1</f>
        <v/>
      </c>
      <c r="K101" s="21">
        <f>Raw_Adjusted_Prices!K103/Raw_Adjusted_Prices!K102-1</f>
        <v/>
      </c>
      <c r="L101" s="21">
        <f>Raw_Adjusted_Prices!L103/Raw_Adjusted_Prices!L102-1</f>
        <v/>
      </c>
      <c r="M101" s="21">
        <f>Raw_Adjusted_Prices!M103/Raw_Adjusted_Prices!M102-1</f>
        <v/>
      </c>
      <c r="N101" s="21">
        <f>Raw_Adjusted_Prices!N103/Raw_Adjusted_Prices!N102-1</f>
        <v/>
      </c>
      <c r="O101" s="21">
        <f>Raw_Adjusted_Prices!O103/Raw_Adjusted_Prices!O102-1</f>
        <v/>
      </c>
      <c r="P101" s="21">
        <f>Raw_Adjusted_Prices!P103/Raw_Adjusted_Prices!P102-1</f>
        <v/>
      </c>
      <c r="Q101" s="21">
        <f>Raw_Adjusted_Prices!Q103/Raw_Adjusted_Prices!Q102-1</f>
        <v/>
      </c>
      <c r="R101" s="21">
        <f>Raw_Adjusted_Prices!R103/Raw_Adjusted_Prices!R102-1</f>
        <v/>
      </c>
      <c r="S101" s="21">
        <f>Raw_Adjusted_Prices!S103/Raw_Adjusted_Prices!S102-1</f>
        <v/>
      </c>
      <c r="T101" s="21">
        <f>Raw_Adjusted_Prices!T103/Raw_Adjusted_Prices!T102-1</f>
        <v/>
      </c>
      <c r="U101" s="21">
        <f>Raw_Adjusted_Prices!U103/Raw_Adjusted_Prices!U102-1</f>
        <v/>
      </c>
      <c r="V101" s="21">
        <f>Raw_Adjusted_Prices!V103/Raw_Adjusted_Prices!V102-1</f>
        <v/>
      </c>
      <c r="W101" s="21">
        <f>Raw_Adjusted_Prices!W103/Raw_Adjusted_Prices!W102-1</f>
        <v/>
      </c>
      <c r="X101" s="21">
        <f>Raw_Adjusted_Prices!X103/Raw_Adjusted_Prices!X102-1</f>
        <v/>
      </c>
      <c r="Y101" s="21">
        <f>Raw_Adjusted_Prices!Y103/Raw_Adjusted_Prices!Y102-1</f>
        <v/>
      </c>
      <c r="Z101" s="21">
        <f>Raw_Adjusted_Prices!Z103/Raw_Adjusted_Prices!Z102-1</f>
        <v/>
      </c>
      <c r="AA101" s="21">
        <f>Raw_Adjusted_Prices!AA103/Raw_Adjusted_Prices!AA102-1</f>
        <v/>
      </c>
      <c r="AB101" s="21">
        <f>Raw_Adjusted_Prices!AB103/Raw_Adjusted_Prices!AB102-1</f>
        <v/>
      </c>
      <c r="AC101" s="21">
        <f>Raw_Adjusted_Prices!AC103/Raw_Adjusted_Prices!AC102-1</f>
        <v/>
      </c>
      <c r="AD101" s="21">
        <f>Raw_Adjusted_Prices!AD103/Raw_Adjusted_Prices!AD102-1</f>
        <v/>
      </c>
      <c r="AE101" s="21">
        <f>Raw_Adjusted_Prices!AE103/Raw_Adjusted_Prices!AE102-1</f>
        <v/>
      </c>
      <c r="AF101" s="21">
        <f>Raw_Adjusted_Prices!AF103/Raw_Adjusted_Prices!AF102-1</f>
        <v/>
      </c>
      <c r="AG101" s="21">
        <f>Raw_Adjusted_Prices!AG103/Raw_Adjusted_Prices!AG102-1</f>
        <v/>
      </c>
      <c r="AH101" s="21">
        <f>Raw_Adjusted_Prices!AH103/Raw_Adjusted_Prices!AH102-1</f>
        <v/>
      </c>
      <c r="AI101" s="21">
        <f>Raw_Adjusted_Prices!AI103/Raw_Adjusted_Prices!AI102-1</f>
        <v/>
      </c>
      <c r="AJ101" s="21">
        <f>Raw_Adjusted_Prices!AJ103/Raw_Adjusted_Prices!AJ102-1</f>
        <v/>
      </c>
      <c r="AK101" s="21">
        <f>Raw_Adjusted_Prices!AK103/Raw_Adjusted_Prices!AK102-1</f>
        <v/>
      </c>
      <c r="AL101" s="21">
        <f>Raw_Adjusted_Prices!AL103/Raw_Adjusted_Prices!AL102-1</f>
        <v/>
      </c>
      <c r="AM101" s="21">
        <f>Raw_Adjusted_Prices!AM103/Raw_Adjusted_Prices!AM102-1</f>
        <v/>
      </c>
      <c r="AN101" s="21">
        <f>Raw_Adjusted_Prices!AN103/Raw_Adjusted_Prices!AN102-1</f>
        <v/>
      </c>
    </row>
    <row r="102">
      <c r="A102" s="19" t="inlineStr">
        <is>
          <t>2023-03-01</t>
        </is>
      </c>
      <c r="B102" s="21">
        <f>Raw_Adjusted_Prices!B104/Raw_Adjusted_Prices!B103-1</f>
        <v/>
      </c>
      <c r="C102" s="21">
        <f>Raw_Adjusted_Prices!C104/Raw_Adjusted_Prices!C103-1</f>
        <v/>
      </c>
      <c r="D102" s="21">
        <f>Raw_Adjusted_Prices!D104/Raw_Adjusted_Prices!D103-1</f>
        <v/>
      </c>
      <c r="E102" s="21">
        <f>Raw_Adjusted_Prices!E104/Raw_Adjusted_Prices!E103-1</f>
        <v/>
      </c>
      <c r="F102" s="21">
        <f>Raw_Adjusted_Prices!F104/Raw_Adjusted_Prices!F103-1</f>
        <v/>
      </c>
      <c r="G102" s="21">
        <f>Raw_Adjusted_Prices!G104/Raw_Adjusted_Prices!G103-1</f>
        <v/>
      </c>
      <c r="H102" s="21">
        <f>Raw_Adjusted_Prices!H104/Raw_Adjusted_Prices!H103-1</f>
        <v/>
      </c>
      <c r="I102" s="21">
        <f>Raw_Adjusted_Prices!I104/Raw_Adjusted_Prices!I103-1</f>
        <v/>
      </c>
      <c r="J102" s="21">
        <f>Raw_Adjusted_Prices!J104/Raw_Adjusted_Prices!J103-1</f>
        <v/>
      </c>
      <c r="K102" s="21">
        <f>Raw_Adjusted_Prices!K104/Raw_Adjusted_Prices!K103-1</f>
        <v/>
      </c>
      <c r="L102" s="21">
        <f>Raw_Adjusted_Prices!L104/Raw_Adjusted_Prices!L103-1</f>
        <v/>
      </c>
      <c r="M102" s="21">
        <f>Raw_Adjusted_Prices!M104/Raw_Adjusted_Prices!M103-1</f>
        <v/>
      </c>
      <c r="N102" s="21">
        <f>Raw_Adjusted_Prices!N104/Raw_Adjusted_Prices!N103-1</f>
        <v/>
      </c>
      <c r="O102" s="21">
        <f>Raw_Adjusted_Prices!O104/Raw_Adjusted_Prices!O103-1</f>
        <v/>
      </c>
      <c r="P102" s="21">
        <f>Raw_Adjusted_Prices!P104/Raw_Adjusted_Prices!P103-1</f>
        <v/>
      </c>
      <c r="Q102" s="21">
        <f>Raw_Adjusted_Prices!Q104/Raw_Adjusted_Prices!Q103-1</f>
        <v/>
      </c>
      <c r="R102" s="21">
        <f>Raw_Adjusted_Prices!R104/Raw_Adjusted_Prices!R103-1</f>
        <v/>
      </c>
      <c r="S102" s="21">
        <f>Raw_Adjusted_Prices!S104/Raw_Adjusted_Prices!S103-1</f>
        <v/>
      </c>
      <c r="T102" s="21">
        <f>Raw_Adjusted_Prices!T104/Raw_Adjusted_Prices!T103-1</f>
        <v/>
      </c>
      <c r="U102" s="21">
        <f>Raw_Adjusted_Prices!U104/Raw_Adjusted_Prices!U103-1</f>
        <v/>
      </c>
      <c r="V102" s="21">
        <f>Raw_Adjusted_Prices!V104/Raw_Adjusted_Prices!V103-1</f>
        <v/>
      </c>
      <c r="W102" s="21">
        <f>Raw_Adjusted_Prices!W104/Raw_Adjusted_Prices!W103-1</f>
        <v/>
      </c>
      <c r="X102" s="21">
        <f>Raw_Adjusted_Prices!X104/Raw_Adjusted_Prices!X103-1</f>
        <v/>
      </c>
      <c r="Y102" s="21">
        <f>Raw_Adjusted_Prices!Y104/Raw_Adjusted_Prices!Y103-1</f>
        <v/>
      </c>
      <c r="Z102" s="21">
        <f>Raw_Adjusted_Prices!Z104/Raw_Adjusted_Prices!Z103-1</f>
        <v/>
      </c>
      <c r="AA102" s="21">
        <f>Raw_Adjusted_Prices!AA104/Raw_Adjusted_Prices!AA103-1</f>
        <v/>
      </c>
      <c r="AB102" s="21">
        <f>Raw_Adjusted_Prices!AB104/Raw_Adjusted_Prices!AB103-1</f>
        <v/>
      </c>
      <c r="AC102" s="21">
        <f>Raw_Adjusted_Prices!AC104/Raw_Adjusted_Prices!AC103-1</f>
        <v/>
      </c>
      <c r="AD102" s="21">
        <f>Raw_Adjusted_Prices!AD104/Raw_Adjusted_Prices!AD103-1</f>
        <v/>
      </c>
      <c r="AE102" s="21">
        <f>Raw_Adjusted_Prices!AE104/Raw_Adjusted_Prices!AE103-1</f>
        <v/>
      </c>
      <c r="AF102" s="21">
        <f>Raw_Adjusted_Prices!AF104/Raw_Adjusted_Prices!AF103-1</f>
        <v/>
      </c>
      <c r="AG102" s="21">
        <f>Raw_Adjusted_Prices!AG104/Raw_Adjusted_Prices!AG103-1</f>
        <v/>
      </c>
      <c r="AH102" s="21">
        <f>Raw_Adjusted_Prices!AH104/Raw_Adjusted_Prices!AH103-1</f>
        <v/>
      </c>
      <c r="AI102" s="21">
        <f>Raw_Adjusted_Prices!AI104/Raw_Adjusted_Prices!AI103-1</f>
        <v/>
      </c>
      <c r="AJ102" s="21">
        <f>Raw_Adjusted_Prices!AJ104/Raw_Adjusted_Prices!AJ103-1</f>
        <v/>
      </c>
      <c r="AK102" s="21">
        <f>Raw_Adjusted_Prices!AK104/Raw_Adjusted_Prices!AK103-1</f>
        <v/>
      </c>
      <c r="AL102" s="21">
        <f>Raw_Adjusted_Prices!AL104/Raw_Adjusted_Prices!AL103-1</f>
        <v/>
      </c>
      <c r="AM102" s="21">
        <f>Raw_Adjusted_Prices!AM104/Raw_Adjusted_Prices!AM103-1</f>
        <v/>
      </c>
      <c r="AN102" s="21">
        <f>Raw_Adjusted_Prices!AN104/Raw_Adjusted_Prices!AN103-1</f>
        <v/>
      </c>
    </row>
    <row r="103">
      <c r="A103" s="19" t="inlineStr">
        <is>
          <t>2023-04-01</t>
        </is>
      </c>
      <c r="B103" s="21">
        <f>Raw_Adjusted_Prices!B105/Raw_Adjusted_Prices!B104-1</f>
        <v/>
      </c>
      <c r="C103" s="21">
        <f>Raw_Adjusted_Prices!C105/Raw_Adjusted_Prices!C104-1</f>
        <v/>
      </c>
      <c r="D103" s="21">
        <f>Raw_Adjusted_Prices!D105/Raw_Adjusted_Prices!D104-1</f>
        <v/>
      </c>
      <c r="E103" s="21">
        <f>Raw_Adjusted_Prices!E105/Raw_Adjusted_Prices!E104-1</f>
        <v/>
      </c>
      <c r="F103" s="21">
        <f>Raw_Adjusted_Prices!F105/Raw_Adjusted_Prices!F104-1</f>
        <v/>
      </c>
      <c r="G103" s="21">
        <f>Raw_Adjusted_Prices!G105/Raw_Adjusted_Prices!G104-1</f>
        <v/>
      </c>
      <c r="H103" s="21">
        <f>Raw_Adjusted_Prices!H105/Raw_Adjusted_Prices!H104-1</f>
        <v/>
      </c>
      <c r="I103" s="21">
        <f>Raw_Adjusted_Prices!I105/Raw_Adjusted_Prices!I104-1</f>
        <v/>
      </c>
      <c r="J103" s="21">
        <f>Raw_Adjusted_Prices!J105/Raw_Adjusted_Prices!J104-1</f>
        <v/>
      </c>
      <c r="K103" s="21">
        <f>Raw_Adjusted_Prices!K105/Raw_Adjusted_Prices!K104-1</f>
        <v/>
      </c>
      <c r="L103" s="21">
        <f>Raw_Adjusted_Prices!L105/Raw_Adjusted_Prices!L104-1</f>
        <v/>
      </c>
      <c r="M103" s="21">
        <f>Raw_Adjusted_Prices!M105/Raw_Adjusted_Prices!M104-1</f>
        <v/>
      </c>
      <c r="N103" s="21">
        <f>Raw_Adjusted_Prices!N105/Raw_Adjusted_Prices!N104-1</f>
        <v/>
      </c>
      <c r="O103" s="21">
        <f>Raw_Adjusted_Prices!O105/Raw_Adjusted_Prices!O104-1</f>
        <v/>
      </c>
      <c r="P103" s="21">
        <f>Raw_Adjusted_Prices!P105/Raw_Adjusted_Prices!P104-1</f>
        <v/>
      </c>
      <c r="Q103" s="21">
        <f>Raw_Adjusted_Prices!Q105/Raw_Adjusted_Prices!Q104-1</f>
        <v/>
      </c>
      <c r="R103" s="21">
        <f>Raw_Adjusted_Prices!R105/Raw_Adjusted_Prices!R104-1</f>
        <v/>
      </c>
      <c r="S103" s="21">
        <f>Raw_Adjusted_Prices!S105/Raw_Adjusted_Prices!S104-1</f>
        <v/>
      </c>
      <c r="T103" s="21">
        <f>Raw_Adjusted_Prices!T105/Raw_Adjusted_Prices!T104-1</f>
        <v/>
      </c>
      <c r="U103" s="21">
        <f>Raw_Adjusted_Prices!U105/Raw_Adjusted_Prices!U104-1</f>
        <v/>
      </c>
      <c r="V103" s="21">
        <f>Raw_Adjusted_Prices!V105/Raw_Adjusted_Prices!V104-1</f>
        <v/>
      </c>
      <c r="W103" s="21">
        <f>Raw_Adjusted_Prices!W105/Raw_Adjusted_Prices!W104-1</f>
        <v/>
      </c>
      <c r="X103" s="21">
        <f>Raw_Adjusted_Prices!X105/Raw_Adjusted_Prices!X104-1</f>
        <v/>
      </c>
      <c r="Y103" s="21">
        <f>Raw_Adjusted_Prices!Y105/Raw_Adjusted_Prices!Y104-1</f>
        <v/>
      </c>
      <c r="Z103" s="21">
        <f>Raw_Adjusted_Prices!Z105/Raw_Adjusted_Prices!Z104-1</f>
        <v/>
      </c>
      <c r="AA103" s="21">
        <f>Raw_Adjusted_Prices!AA105/Raw_Adjusted_Prices!AA104-1</f>
        <v/>
      </c>
      <c r="AB103" s="21">
        <f>Raw_Adjusted_Prices!AB105/Raw_Adjusted_Prices!AB104-1</f>
        <v/>
      </c>
      <c r="AC103" s="21">
        <f>Raw_Adjusted_Prices!AC105/Raw_Adjusted_Prices!AC104-1</f>
        <v/>
      </c>
      <c r="AD103" s="21">
        <f>Raw_Adjusted_Prices!AD105/Raw_Adjusted_Prices!AD104-1</f>
        <v/>
      </c>
      <c r="AE103" s="21">
        <f>Raw_Adjusted_Prices!AE105/Raw_Adjusted_Prices!AE104-1</f>
        <v/>
      </c>
      <c r="AF103" s="21">
        <f>Raw_Adjusted_Prices!AF105/Raw_Adjusted_Prices!AF104-1</f>
        <v/>
      </c>
      <c r="AG103" s="21">
        <f>Raw_Adjusted_Prices!AG105/Raw_Adjusted_Prices!AG104-1</f>
        <v/>
      </c>
      <c r="AH103" s="21">
        <f>Raw_Adjusted_Prices!AH105/Raw_Adjusted_Prices!AH104-1</f>
        <v/>
      </c>
      <c r="AI103" s="21">
        <f>Raw_Adjusted_Prices!AI105/Raw_Adjusted_Prices!AI104-1</f>
        <v/>
      </c>
      <c r="AJ103" s="21">
        <f>Raw_Adjusted_Prices!AJ105/Raw_Adjusted_Prices!AJ104-1</f>
        <v/>
      </c>
      <c r="AK103" s="21">
        <f>Raw_Adjusted_Prices!AK105/Raw_Adjusted_Prices!AK104-1</f>
        <v/>
      </c>
      <c r="AL103" s="21">
        <f>Raw_Adjusted_Prices!AL105/Raw_Adjusted_Prices!AL104-1</f>
        <v/>
      </c>
      <c r="AM103" s="21">
        <f>Raw_Adjusted_Prices!AM105/Raw_Adjusted_Prices!AM104-1</f>
        <v/>
      </c>
      <c r="AN103" s="21">
        <f>Raw_Adjusted_Prices!AN105/Raw_Adjusted_Prices!AN104-1</f>
        <v/>
      </c>
    </row>
    <row r="104">
      <c r="A104" s="19" t="inlineStr">
        <is>
          <t>2023-05-01</t>
        </is>
      </c>
      <c r="B104" s="21">
        <f>Raw_Adjusted_Prices!B106/Raw_Adjusted_Prices!B105-1</f>
        <v/>
      </c>
      <c r="C104" s="21">
        <f>Raw_Adjusted_Prices!C106/Raw_Adjusted_Prices!C105-1</f>
        <v/>
      </c>
      <c r="D104" s="21">
        <f>Raw_Adjusted_Prices!D106/Raw_Adjusted_Prices!D105-1</f>
        <v/>
      </c>
      <c r="E104" s="21">
        <f>Raw_Adjusted_Prices!E106/Raw_Adjusted_Prices!E105-1</f>
        <v/>
      </c>
      <c r="F104" s="21">
        <f>Raw_Adjusted_Prices!F106/Raw_Adjusted_Prices!F105-1</f>
        <v/>
      </c>
      <c r="G104" s="21">
        <f>Raw_Adjusted_Prices!G106/Raw_Adjusted_Prices!G105-1</f>
        <v/>
      </c>
      <c r="H104" s="21">
        <f>Raw_Adjusted_Prices!H106/Raw_Adjusted_Prices!H105-1</f>
        <v/>
      </c>
      <c r="I104" s="21">
        <f>Raw_Adjusted_Prices!I106/Raw_Adjusted_Prices!I105-1</f>
        <v/>
      </c>
      <c r="J104" s="21">
        <f>Raw_Adjusted_Prices!J106/Raw_Adjusted_Prices!J105-1</f>
        <v/>
      </c>
      <c r="K104" s="21">
        <f>Raw_Adjusted_Prices!K106/Raw_Adjusted_Prices!K105-1</f>
        <v/>
      </c>
      <c r="L104" s="21">
        <f>Raw_Adjusted_Prices!L106/Raw_Adjusted_Prices!L105-1</f>
        <v/>
      </c>
      <c r="M104" s="21">
        <f>Raw_Adjusted_Prices!M106/Raw_Adjusted_Prices!M105-1</f>
        <v/>
      </c>
      <c r="N104" s="21">
        <f>Raw_Adjusted_Prices!N106/Raw_Adjusted_Prices!N105-1</f>
        <v/>
      </c>
      <c r="O104" s="21">
        <f>Raw_Adjusted_Prices!O106/Raw_Adjusted_Prices!O105-1</f>
        <v/>
      </c>
      <c r="P104" s="21">
        <f>Raw_Adjusted_Prices!P106/Raw_Adjusted_Prices!P105-1</f>
        <v/>
      </c>
      <c r="Q104" s="21">
        <f>Raw_Adjusted_Prices!Q106/Raw_Adjusted_Prices!Q105-1</f>
        <v/>
      </c>
      <c r="R104" s="21">
        <f>Raw_Adjusted_Prices!R106/Raw_Adjusted_Prices!R105-1</f>
        <v/>
      </c>
      <c r="S104" s="21">
        <f>Raw_Adjusted_Prices!S106/Raw_Adjusted_Prices!S105-1</f>
        <v/>
      </c>
      <c r="T104" s="21">
        <f>Raw_Adjusted_Prices!T106/Raw_Adjusted_Prices!T105-1</f>
        <v/>
      </c>
      <c r="U104" s="21">
        <f>Raw_Adjusted_Prices!U106/Raw_Adjusted_Prices!U105-1</f>
        <v/>
      </c>
      <c r="V104" s="21">
        <f>Raw_Adjusted_Prices!V106/Raw_Adjusted_Prices!V105-1</f>
        <v/>
      </c>
      <c r="W104" s="21">
        <f>Raw_Adjusted_Prices!W106/Raw_Adjusted_Prices!W105-1</f>
        <v/>
      </c>
      <c r="X104" s="21">
        <f>Raw_Adjusted_Prices!X106/Raw_Adjusted_Prices!X105-1</f>
        <v/>
      </c>
      <c r="Y104" s="21">
        <f>Raw_Adjusted_Prices!Y106/Raw_Adjusted_Prices!Y105-1</f>
        <v/>
      </c>
      <c r="Z104" s="21">
        <f>Raw_Adjusted_Prices!Z106/Raw_Adjusted_Prices!Z105-1</f>
        <v/>
      </c>
      <c r="AA104" s="21">
        <f>Raw_Adjusted_Prices!AA106/Raw_Adjusted_Prices!AA105-1</f>
        <v/>
      </c>
      <c r="AB104" s="21">
        <f>Raw_Adjusted_Prices!AB106/Raw_Adjusted_Prices!AB105-1</f>
        <v/>
      </c>
      <c r="AC104" s="21">
        <f>Raw_Adjusted_Prices!AC106/Raw_Adjusted_Prices!AC105-1</f>
        <v/>
      </c>
      <c r="AD104" s="21">
        <f>Raw_Adjusted_Prices!AD106/Raw_Adjusted_Prices!AD105-1</f>
        <v/>
      </c>
      <c r="AE104" s="21">
        <f>Raw_Adjusted_Prices!AE106/Raw_Adjusted_Prices!AE105-1</f>
        <v/>
      </c>
      <c r="AF104" s="21">
        <f>Raw_Adjusted_Prices!AF106/Raw_Adjusted_Prices!AF105-1</f>
        <v/>
      </c>
      <c r="AG104" s="21">
        <f>Raw_Adjusted_Prices!AG106/Raw_Adjusted_Prices!AG105-1</f>
        <v/>
      </c>
      <c r="AH104" s="21">
        <f>Raw_Adjusted_Prices!AH106/Raw_Adjusted_Prices!AH105-1</f>
        <v/>
      </c>
      <c r="AI104" s="21">
        <f>Raw_Adjusted_Prices!AI106/Raw_Adjusted_Prices!AI105-1</f>
        <v/>
      </c>
      <c r="AJ104" s="21">
        <f>Raw_Adjusted_Prices!AJ106/Raw_Adjusted_Prices!AJ105-1</f>
        <v/>
      </c>
      <c r="AK104" s="21">
        <f>Raw_Adjusted_Prices!AK106/Raw_Adjusted_Prices!AK105-1</f>
        <v/>
      </c>
      <c r="AL104" s="21">
        <f>Raw_Adjusted_Prices!AL106/Raw_Adjusted_Prices!AL105-1</f>
        <v/>
      </c>
      <c r="AM104" s="21">
        <f>Raw_Adjusted_Prices!AM106/Raw_Adjusted_Prices!AM105-1</f>
        <v/>
      </c>
      <c r="AN104" s="21">
        <f>Raw_Adjusted_Prices!AN106/Raw_Adjusted_Prices!AN105-1</f>
        <v/>
      </c>
    </row>
    <row r="105">
      <c r="A105" s="19" t="inlineStr">
        <is>
          <t>2023-06-01</t>
        </is>
      </c>
      <c r="B105" s="21">
        <f>Raw_Adjusted_Prices!B107/Raw_Adjusted_Prices!B106-1</f>
        <v/>
      </c>
      <c r="C105" s="21">
        <f>Raw_Adjusted_Prices!C107/Raw_Adjusted_Prices!C106-1</f>
        <v/>
      </c>
      <c r="D105" s="21">
        <f>Raw_Adjusted_Prices!D107/Raw_Adjusted_Prices!D106-1</f>
        <v/>
      </c>
      <c r="E105" s="21">
        <f>Raw_Adjusted_Prices!E107/Raw_Adjusted_Prices!E106-1</f>
        <v/>
      </c>
      <c r="F105" s="21">
        <f>Raw_Adjusted_Prices!F107/Raw_Adjusted_Prices!F106-1</f>
        <v/>
      </c>
      <c r="G105" s="21">
        <f>Raw_Adjusted_Prices!G107/Raw_Adjusted_Prices!G106-1</f>
        <v/>
      </c>
      <c r="H105" s="21">
        <f>Raw_Adjusted_Prices!H107/Raw_Adjusted_Prices!H106-1</f>
        <v/>
      </c>
      <c r="I105" s="21">
        <f>Raw_Adjusted_Prices!I107/Raw_Adjusted_Prices!I106-1</f>
        <v/>
      </c>
      <c r="J105" s="21">
        <f>Raw_Adjusted_Prices!J107/Raw_Adjusted_Prices!J106-1</f>
        <v/>
      </c>
      <c r="K105" s="21">
        <f>Raw_Adjusted_Prices!K107/Raw_Adjusted_Prices!K106-1</f>
        <v/>
      </c>
      <c r="L105" s="21">
        <f>Raw_Adjusted_Prices!L107/Raw_Adjusted_Prices!L106-1</f>
        <v/>
      </c>
      <c r="M105" s="21">
        <f>Raw_Adjusted_Prices!M107/Raw_Adjusted_Prices!M106-1</f>
        <v/>
      </c>
      <c r="N105" s="21">
        <f>Raw_Adjusted_Prices!N107/Raw_Adjusted_Prices!N106-1</f>
        <v/>
      </c>
      <c r="O105" s="21">
        <f>Raw_Adjusted_Prices!O107/Raw_Adjusted_Prices!O106-1</f>
        <v/>
      </c>
      <c r="P105" s="21">
        <f>Raw_Adjusted_Prices!P107/Raw_Adjusted_Prices!P106-1</f>
        <v/>
      </c>
      <c r="Q105" s="21">
        <f>Raw_Adjusted_Prices!Q107/Raw_Adjusted_Prices!Q106-1</f>
        <v/>
      </c>
      <c r="R105" s="21">
        <f>Raw_Adjusted_Prices!R107/Raw_Adjusted_Prices!R106-1</f>
        <v/>
      </c>
      <c r="S105" s="21">
        <f>Raw_Adjusted_Prices!S107/Raw_Adjusted_Prices!S106-1</f>
        <v/>
      </c>
      <c r="T105" s="21">
        <f>Raw_Adjusted_Prices!T107/Raw_Adjusted_Prices!T106-1</f>
        <v/>
      </c>
      <c r="U105" s="21">
        <f>Raw_Adjusted_Prices!U107/Raw_Adjusted_Prices!U106-1</f>
        <v/>
      </c>
      <c r="V105" s="21">
        <f>Raw_Adjusted_Prices!V107/Raw_Adjusted_Prices!V106-1</f>
        <v/>
      </c>
      <c r="W105" s="21">
        <f>Raw_Adjusted_Prices!W107/Raw_Adjusted_Prices!W106-1</f>
        <v/>
      </c>
      <c r="X105" s="21">
        <f>Raw_Adjusted_Prices!X107/Raw_Adjusted_Prices!X106-1</f>
        <v/>
      </c>
      <c r="Y105" s="21">
        <f>Raw_Adjusted_Prices!Y107/Raw_Adjusted_Prices!Y106-1</f>
        <v/>
      </c>
      <c r="Z105" s="21">
        <f>Raw_Adjusted_Prices!Z107/Raw_Adjusted_Prices!Z106-1</f>
        <v/>
      </c>
      <c r="AA105" s="21">
        <f>Raw_Adjusted_Prices!AA107/Raw_Adjusted_Prices!AA106-1</f>
        <v/>
      </c>
      <c r="AB105" s="21">
        <f>Raw_Adjusted_Prices!AB107/Raw_Adjusted_Prices!AB106-1</f>
        <v/>
      </c>
      <c r="AC105" s="21">
        <f>Raw_Adjusted_Prices!AC107/Raw_Adjusted_Prices!AC106-1</f>
        <v/>
      </c>
      <c r="AD105" s="21">
        <f>Raw_Adjusted_Prices!AD107/Raw_Adjusted_Prices!AD106-1</f>
        <v/>
      </c>
      <c r="AE105" s="21">
        <f>Raw_Adjusted_Prices!AE107/Raw_Adjusted_Prices!AE106-1</f>
        <v/>
      </c>
      <c r="AF105" s="21">
        <f>Raw_Adjusted_Prices!AF107/Raw_Adjusted_Prices!AF106-1</f>
        <v/>
      </c>
      <c r="AG105" s="21">
        <f>Raw_Adjusted_Prices!AG107/Raw_Adjusted_Prices!AG106-1</f>
        <v/>
      </c>
      <c r="AH105" s="21">
        <f>Raw_Adjusted_Prices!AH107/Raw_Adjusted_Prices!AH106-1</f>
        <v/>
      </c>
      <c r="AI105" s="21">
        <f>Raw_Adjusted_Prices!AI107/Raw_Adjusted_Prices!AI106-1</f>
        <v/>
      </c>
      <c r="AJ105" s="21">
        <f>Raw_Adjusted_Prices!AJ107/Raw_Adjusted_Prices!AJ106-1</f>
        <v/>
      </c>
      <c r="AK105" s="21">
        <f>Raw_Adjusted_Prices!AK107/Raw_Adjusted_Prices!AK106-1</f>
        <v/>
      </c>
      <c r="AL105" s="21">
        <f>Raw_Adjusted_Prices!AL107/Raw_Adjusted_Prices!AL106-1</f>
        <v/>
      </c>
      <c r="AM105" s="21">
        <f>Raw_Adjusted_Prices!AM107/Raw_Adjusted_Prices!AM106-1</f>
        <v/>
      </c>
      <c r="AN105" s="21">
        <f>Raw_Adjusted_Prices!AN107/Raw_Adjusted_Prices!AN106-1</f>
        <v/>
      </c>
    </row>
    <row r="106">
      <c r="A106" s="19" t="inlineStr">
        <is>
          <t>2023-07-01</t>
        </is>
      </c>
      <c r="B106" s="21">
        <f>Raw_Adjusted_Prices!B108/Raw_Adjusted_Prices!B107-1</f>
        <v/>
      </c>
      <c r="C106" s="21">
        <f>Raw_Adjusted_Prices!C108/Raw_Adjusted_Prices!C107-1</f>
        <v/>
      </c>
      <c r="D106" s="21">
        <f>Raw_Adjusted_Prices!D108/Raw_Adjusted_Prices!D107-1</f>
        <v/>
      </c>
      <c r="E106" s="21">
        <f>Raw_Adjusted_Prices!E108/Raw_Adjusted_Prices!E107-1</f>
        <v/>
      </c>
      <c r="F106" s="21">
        <f>Raw_Adjusted_Prices!F108/Raw_Adjusted_Prices!F107-1</f>
        <v/>
      </c>
      <c r="G106" s="21">
        <f>Raw_Adjusted_Prices!G108/Raw_Adjusted_Prices!G107-1</f>
        <v/>
      </c>
      <c r="H106" s="21">
        <f>Raw_Adjusted_Prices!H108/Raw_Adjusted_Prices!H107-1</f>
        <v/>
      </c>
      <c r="I106" s="21">
        <f>Raw_Adjusted_Prices!I108/Raw_Adjusted_Prices!I107-1</f>
        <v/>
      </c>
      <c r="J106" s="21">
        <f>Raw_Adjusted_Prices!J108/Raw_Adjusted_Prices!J107-1</f>
        <v/>
      </c>
      <c r="K106" s="21">
        <f>Raw_Adjusted_Prices!K108/Raw_Adjusted_Prices!K107-1</f>
        <v/>
      </c>
      <c r="L106" s="21">
        <f>Raw_Adjusted_Prices!L108/Raw_Adjusted_Prices!L107-1</f>
        <v/>
      </c>
      <c r="M106" s="21">
        <f>Raw_Adjusted_Prices!M108/Raw_Adjusted_Prices!M107-1</f>
        <v/>
      </c>
      <c r="N106" s="21">
        <f>Raw_Adjusted_Prices!N108/Raw_Adjusted_Prices!N107-1</f>
        <v/>
      </c>
      <c r="O106" s="21">
        <f>Raw_Adjusted_Prices!O108/Raw_Adjusted_Prices!O107-1</f>
        <v/>
      </c>
      <c r="P106" s="21">
        <f>Raw_Adjusted_Prices!P108/Raw_Adjusted_Prices!P107-1</f>
        <v/>
      </c>
      <c r="Q106" s="21">
        <f>Raw_Adjusted_Prices!Q108/Raw_Adjusted_Prices!Q107-1</f>
        <v/>
      </c>
      <c r="R106" s="21">
        <f>Raw_Adjusted_Prices!R108/Raw_Adjusted_Prices!R107-1</f>
        <v/>
      </c>
      <c r="S106" s="21">
        <f>Raw_Adjusted_Prices!S108/Raw_Adjusted_Prices!S107-1</f>
        <v/>
      </c>
      <c r="T106" s="21">
        <f>Raw_Adjusted_Prices!T108/Raw_Adjusted_Prices!T107-1</f>
        <v/>
      </c>
      <c r="U106" s="21">
        <f>Raw_Adjusted_Prices!U108/Raw_Adjusted_Prices!U107-1</f>
        <v/>
      </c>
      <c r="V106" s="21">
        <f>Raw_Adjusted_Prices!V108/Raw_Adjusted_Prices!V107-1</f>
        <v/>
      </c>
      <c r="W106" s="21">
        <f>Raw_Adjusted_Prices!W108/Raw_Adjusted_Prices!W107-1</f>
        <v/>
      </c>
      <c r="X106" s="21">
        <f>Raw_Adjusted_Prices!X108/Raw_Adjusted_Prices!X107-1</f>
        <v/>
      </c>
      <c r="Y106" s="21">
        <f>Raw_Adjusted_Prices!Y108/Raw_Adjusted_Prices!Y107-1</f>
        <v/>
      </c>
      <c r="Z106" s="21">
        <f>Raw_Adjusted_Prices!Z108/Raw_Adjusted_Prices!Z107-1</f>
        <v/>
      </c>
      <c r="AA106" s="21">
        <f>Raw_Adjusted_Prices!AA108/Raw_Adjusted_Prices!AA107-1</f>
        <v/>
      </c>
      <c r="AB106" s="21">
        <f>Raw_Adjusted_Prices!AB108/Raw_Adjusted_Prices!AB107-1</f>
        <v/>
      </c>
      <c r="AC106" s="21">
        <f>Raw_Adjusted_Prices!AC108/Raw_Adjusted_Prices!AC107-1</f>
        <v/>
      </c>
      <c r="AD106" s="21">
        <f>Raw_Adjusted_Prices!AD108/Raw_Adjusted_Prices!AD107-1</f>
        <v/>
      </c>
      <c r="AE106" s="21">
        <f>Raw_Adjusted_Prices!AE108/Raw_Adjusted_Prices!AE107-1</f>
        <v/>
      </c>
      <c r="AF106" s="21">
        <f>Raw_Adjusted_Prices!AF108/Raw_Adjusted_Prices!AF107-1</f>
        <v/>
      </c>
      <c r="AG106" s="21">
        <f>Raw_Adjusted_Prices!AG108/Raw_Adjusted_Prices!AG107-1</f>
        <v/>
      </c>
      <c r="AH106" s="21">
        <f>Raw_Adjusted_Prices!AH108/Raw_Adjusted_Prices!AH107-1</f>
        <v/>
      </c>
      <c r="AI106" s="21">
        <f>Raw_Adjusted_Prices!AI108/Raw_Adjusted_Prices!AI107-1</f>
        <v/>
      </c>
      <c r="AJ106" s="21">
        <f>Raw_Adjusted_Prices!AJ108/Raw_Adjusted_Prices!AJ107-1</f>
        <v/>
      </c>
      <c r="AK106" s="21">
        <f>Raw_Adjusted_Prices!AK108/Raw_Adjusted_Prices!AK107-1</f>
        <v/>
      </c>
      <c r="AL106" s="21">
        <f>Raw_Adjusted_Prices!AL108/Raw_Adjusted_Prices!AL107-1</f>
        <v/>
      </c>
      <c r="AM106" s="21">
        <f>Raw_Adjusted_Prices!AM108/Raw_Adjusted_Prices!AM107-1</f>
        <v/>
      </c>
      <c r="AN106" s="21">
        <f>Raw_Adjusted_Prices!AN108/Raw_Adjusted_Prices!AN107-1</f>
        <v/>
      </c>
    </row>
    <row r="107">
      <c r="A107" s="19" t="inlineStr">
        <is>
          <t>2023-08-01</t>
        </is>
      </c>
      <c r="B107" s="21">
        <f>Raw_Adjusted_Prices!B109/Raw_Adjusted_Prices!B108-1</f>
        <v/>
      </c>
      <c r="C107" s="21">
        <f>Raw_Adjusted_Prices!C109/Raw_Adjusted_Prices!C108-1</f>
        <v/>
      </c>
      <c r="D107" s="21">
        <f>Raw_Adjusted_Prices!D109/Raw_Adjusted_Prices!D108-1</f>
        <v/>
      </c>
      <c r="E107" s="21">
        <f>Raw_Adjusted_Prices!E109/Raw_Adjusted_Prices!E108-1</f>
        <v/>
      </c>
      <c r="F107" s="21">
        <f>Raw_Adjusted_Prices!F109/Raw_Adjusted_Prices!F108-1</f>
        <v/>
      </c>
      <c r="G107" s="21">
        <f>Raw_Adjusted_Prices!G109/Raw_Adjusted_Prices!G108-1</f>
        <v/>
      </c>
      <c r="H107" s="21">
        <f>Raw_Adjusted_Prices!H109/Raw_Adjusted_Prices!H108-1</f>
        <v/>
      </c>
      <c r="I107" s="21">
        <f>Raw_Adjusted_Prices!I109/Raw_Adjusted_Prices!I108-1</f>
        <v/>
      </c>
      <c r="J107" s="21">
        <f>Raw_Adjusted_Prices!J109/Raw_Adjusted_Prices!J108-1</f>
        <v/>
      </c>
      <c r="K107" s="21">
        <f>Raw_Adjusted_Prices!K109/Raw_Adjusted_Prices!K108-1</f>
        <v/>
      </c>
      <c r="L107" s="21">
        <f>Raw_Adjusted_Prices!L109/Raw_Adjusted_Prices!L108-1</f>
        <v/>
      </c>
      <c r="M107" s="21">
        <f>Raw_Adjusted_Prices!M109/Raw_Adjusted_Prices!M108-1</f>
        <v/>
      </c>
      <c r="N107" s="21">
        <f>Raw_Adjusted_Prices!N109/Raw_Adjusted_Prices!N108-1</f>
        <v/>
      </c>
      <c r="O107" s="21">
        <f>Raw_Adjusted_Prices!O109/Raw_Adjusted_Prices!O108-1</f>
        <v/>
      </c>
      <c r="P107" s="21">
        <f>Raw_Adjusted_Prices!P109/Raw_Adjusted_Prices!P108-1</f>
        <v/>
      </c>
      <c r="Q107" s="21">
        <f>Raw_Adjusted_Prices!Q109/Raw_Adjusted_Prices!Q108-1</f>
        <v/>
      </c>
      <c r="R107" s="21">
        <f>Raw_Adjusted_Prices!R109/Raw_Adjusted_Prices!R108-1</f>
        <v/>
      </c>
      <c r="S107" s="21">
        <f>Raw_Adjusted_Prices!S109/Raw_Adjusted_Prices!S108-1</f>
        <v/>
      </c>
      <c r="T107" s="21">
        <f>Raw_Adjusted_Prices!T109/Raw_Adjusted_Prices!T108-1</f>
        <v/>
      </c>
      <c r="U107" s="21">
        <f>Raw_Adjusted_Prices!U109/Raw_Adjusted_Prices!U108-1</f>
        <v/>
      </c>
      <c r="V107" s="21">
        <f>Raw_Adjusted_Prices!V109/Raw_Adjusted_Prices!V108-1</f>
        <v/>
      </c>
      <c r="W107" s="21">
        <f>Raw_Adjusted_Prices!W109/Raw_Adjusted_Prices!W108-1</f>
        <v/>
      </c>
      <c r="X107" s="21">
        <f>Raw_Adjusted_Prices!X109/Raw_Adjusted_Prices!X108-1</f>
        <v/>
      </c>
      <c r="Y107" s="21">
        <f>Raw_Adjusted_Prices!Y109/Raw_Adjusted_Prices!Y108-1</f>
        <v/>
      </c>
      <c r="Z107" s="21">
        <f>Raw_Adjusted_Prices!Z109/Raw_Adjusted_Prices!Z108-1</f>
        <v/>
      </c>
      <c r="AA107" s="21">
        <f>Raw_Adjusted_Prices!AA109/Raw_Adjusted_Prices!AA108-1</f>
        <v/>
      </c>
      <c r="AB107" s="21">
        <f>Raw_Adjusted_Prices!AB109/Raw_Adjusted_Prices!AB108-1</f>
        <v/>
      </c>
      <c r="AC107" s="21">
        <f>Raw_Adjusted_Prices!AC109/Raw_Adjusted_Prices!AC108-1</f>
        <v/>
      </c>
      <c r="AD107" s="21">
        <f>Raw_Adjusted_Prices!AD109/Raw_Adjusted_Prices!AD108-1</f>
        <v/>
      </c>
      <c r="AE107" s="21">
        <f>Raw_Adjusted_Prices!AE109/Raw_Adjusted_Prices!AE108-1</f>
        <v/>
      </c>
      <c r="AF107" s="21">
        <f>Raw_Adjusted_Prices!AF109/Raw_Adjusted_Prices!AF108-1</f>
        <v/>
      </c>
      <c r="AG107" s="21">
        <f>Raw_Adjusted_Prices!AG109/Raw_Adjusted_Prices!AG108-1</f>
        <v/>
      </c>
      <c r="AH107" s="21">
        <f>Raw_Adjusted_Prices!AH109/Raw_Adjusted_Prices!AH108-1</f>
        <v/>
      </c>
      <c r="AI107" s="21">
        <f>Raw_Adjusted_Prices!AI109/Raw_Adjusted_Prices!AI108-1</f>
        <v/>
      </c>
      <c r="AJ107" s="21">
        <f>Raw_Adjusted_Prices!AJ109/Raw_Adjusted_Prices!AJ108-1</f>
        <v/>
      </c>
      <c r="AK107" s="21">
        <f>Raw_Adjusted_Prices!AK109/Raw_Adjusted_Prices!AK108-1</f>
        <v/>
      </c>
      <c r="AL107" s="21">
        <f>Raw_Adjusted_Prices!AL109/Raw_Adjusted_Prices!AL108-1</f>
        <v/>
      </c>
      <c r="AM107" s="21">
        <f>Raw_Adjusted_Prices!AM109/Raw_Adjusted_Prices!AM108-1</f>
        <v/>
      </c>
      <c r="AN107" s="21">
        <f>Raw_Adjusted_Prices!AN109/Raw_Adjusted_Prices!AN108-1</f>
        <v/>
      </c>
    </row>
    <row r="108">
      <c r="A108" s="19" t="inlineStr">
        <is>
          <t>2023-09-01</t>
        </is>
      </c>
      <c r="B108" s="21">
        <f>Raw_Adjusted_Prices!B110/Raw_Adjusted_Prices!B109-1</f>
        <v/>
      </c>
      <c r="C108" s="21">
        <f>Raw_Adjusted_Prices!C110/Raw_Adjusted_Prices!C109-1</f>
        <v/>
      </c>
      <c r="D108" s="21">
        <f>Raw_Adjusted_Prices!D110/Raw_Adjusted_Prices!D109-1</f>
        <v/>
      </c>
      <c r="E108" s="21">
        <f>Raw_Adjusted_Prices!E110/Raw_Adjusted_Prices!E109-1</f>
        <v/>
      </c>
      <c r="F108" s="21">
        <f>Raw_Adjusted_Prices!F110/Raw_Adjusted_Prices!F109-1</f>
        <v/>
      </c>
      <c r="G108" s="21">
        <f>Raw_Adjusted_Prices!G110/Raw_Adjusted_Prices!G109-1</f>
        <v/>
      </c>
      <c r="H108" s="21">
        <f>Raw_Adjusted_Prices!H110/Raw_Adjusted_Prices!H109-1</f>
        <v/>
      </c>
      <c r="I108" s="21">
        <f>Raw_Adjusted_Prices!I110/Raw_Adjusted_Prices!I109-1</f>
        <v/>
      </c>
      <c r="J108" s="21">
        <f>Raw_Adjusted_Prices!J110/Raw_Adjusted_Prices!J109-1</f>
        <v/>
      </c>
      <c r="K108" s="21">
        <f>Raw_Adjusted_Prices!K110/Raw_Adjusted_Prices!K109-1</f>
        <v/>
      </c>
      <c r="L108" s="21">
        <f>Raw_Adjusted_Prices!L110/Raw_Adjusted_Prices!L109-1</f>
        <v/>
      </c>
      <c r="M108" s="21">
        <f>Raw_Adjusted_Prices!M110/Raw_Adjusted_Prices!M109-1</f>
        <v/>
      </c>
      <c r="N108" s="21">
        <f>Raw_Adjusted_Prices!N110/Raw_Adjusted_Prices!N109-1</f>
        <v/>
      </c>
      <c r="O108" s="21">
        <f>Raw_Adjusted_Prices!O110/Raw_Adjusted_Prices!O109-1</f>
        <v/>
      </c>
      <c r="P108" s="21">
        <f>Raw_Adjusted_Prices!P110/Raw_Adjusted_Prices!P109-1</f>
        <v/>
      </c>
      <c r="Q108" s="21">
        <f>Raw_Adjusted_Prices!Q110/Raw_Adjusted_Prices!Q109-1</f>
        <v/>
      </c>
      <c r="R108" s="21">
        <f>Raw_Adjusted_Prices!R110/Raw_Adjusted_Prices!R109-1</f>
        <v/>
      </c>
      <c r="S108" s="21">
        <f>Raw_Adjusted_Prices!S110/Raw_Adjusted_Prices!S109-1</f>
        <v/>
      </c>
      <c r="T108" s="21">
        <f>Raw_Adjusted_Prices!T110/Raw_Adjusted_Prices!T109-1</f>
        <v/>
      </c>
      <c r="U108" s="21">
        <f>Raw_Adjusted_Prices!U110/Raw_Adjusted_Prices!U109-1</f>
        <v/>
      </c>
      <c r="V108" s="21">
        <f>Raw_Adjusted_Prices!V110/Raw_Adjusted_Prices!V109-1</f>
        <v/>
      </c>
      <c r="W108" s="21">
        <f>Raw_Adjusted_Prices!W110/Raw_Adjusted_Prices!W109-1</f>
        <v/>
      </c>
      <c r="X108" s="21">
        <f>Raw_Adjusted_Prices!X110/Raw_Adjusted_Prices!X109-1</f>
        <v/>
      </c>
      <c r="Y108" s="21">
        <f>Raw_Adjusted_Prices!Y110/Raw_Adjusted_Prices!Y109-1</f>
        <v/>
      </c>
      <c r="Z108" s="21">
        <f>Raw_Adjusted_Prices!Z110/Raw_Adjusted_Prices!Z109-1</f>
        <v/>
      </c>
      <c r="AA108" s="21">
        <f>Raw_Adjusted_Prices!AA110/Raw_Adjusted_Prices!AA109-1</f>
        <v/>
      </c>
      <c r="AB108" s="21">
        <f>Raw_Adjusted_Prices!AB110/Raw_Adjusted_Prices!AB109-1</f>
        <v/>
      </c>
      <c r="AC108" s="21">
        <f>Raw_Adjusted_Prices!AC110/Raw_Adjusted_Prices!AC109-1</f>
        <v/>
      </c>
      <c r="AD108" s="21">
        <f>Raw_Adjusted_Prices!AD110/Raw_Adjusted_Prices!AD109-1</f>
        <v/>
      </c>
      <c r="AE108" s="21">
        <f>Raw_Adjusted_Prices!AE110/Raw_Adjusted_Prices!AE109-1</f>
        <v/>
      </c>
      <c r="AF108" s="21">
        <f>Raw_Adjusted_Prices!AF110/Raw_Adjusted_Prices!AF109-1</f>
        <v/>
      </c>
      <c r="AG108" s="21">
        <f>Raw_Adjusted_Prices!AG110/Raw_Adjusted_Prices!AG109-1</f>
        <v/>
      </c>
      <c r="AH108" s="21">
        <f>Raw_Adjusted_Prices!AH110/Raw_Adjusted_Prices!AH109-1</f>
        <v/>
      </c>
      <c r="AI108" s="21">
        <f>Raw_Adjusted_Prices!AI110/Raw_Adjusted_Prices!AI109-1</f>
        <v/>
      </c>
      <c r="AJ108" s="21">
        <f>Raw_Adjusted_Prices!AJ110/Raw_Adjusted_Prices!AJ109-1</f>
        <v/>
      </c>
      <c r="AK108" s="21">
        <f>Raw_Adjusted_Prices!AK110/Raw_Adjusted_Prices!AK109-1</f>
        <v/>
      </c>
      <c r="AL108" s="21">
        <f>Raw_Adjusted_Prices!AL110/Raw_Adjusted_Prices!AL109-1</f>
        <v/>
      </c>
      <c r="AM108" s="21">
        <f>Raw_Adjusted_Prices!AM110/Raw_Adjusted_Prices!AM109-1</f>
        <v/>
      </c>
      <c r="AN108" s="21">
        <f>Raw_Adjusted_Prices!AN110/Raw_Adjusted_Prices!AN109-1</f>
        <v/>
      </c>
    </row>
    <row r="109">
      <c r="A109" s="19" t="inlineStr">
        <is>
          <t>2023-10-01</t>
        </is>
      </c>
      <c r="B109" s="21">
        <f>Raw_Adjusted_Prices!B111/Raw_Adjusted_Prices!B110-1</f>
        <v/>
      </c>
      <c r="C109" s="21">
        <f>Raw_Adjusted_Prices!C111/Raw_Adjusted_Prices!C110-1</f>
        <v/>
      </c>
      <c r="D109" s="21">
        <f>Raw_Adjusted_Prices!D111/Raw_Adjusted_Prices!D110-1</f>
        <v/>
      </c>
      <c r="E109" s="21">
        <f>Raw_Adjusted_Prices!E111/Raw_Adjusted_Prices!E110-1</f>
        <v/>
      </c>
      <c r="F109" s="21">
        <f>Raw_Adjusted_Prices!F111/Raw_Adjusted_Prices!F110-1</f>
        <v/>
      </c>
      <c r="G109" s="21">
        <f>Raw_Adjusted_Prices!G111/Raw_Adjusted_Prices!G110-1</f>
        <v/>
      </c>
      <c r="H109" s="21">
        <f>Raw_Adjusted_Prices!H111/Raw_Adjusted_Prices!H110-1</f>
        <v/>
      </c>
      <c r="I109" s="21">
        <f>Raw_Adjusted_Prices!I111/Raw_Adjusted_Prices!I110-1</f>
        <v/>
      </c>
      <c r="J109" s="21">
        <f>Raw_Adjusted_Prices!J111/Raw_Adjusted_Prices!J110-1</f>
        <v/>
      </c>
      <c r="K109" s="21">
        <f>Raw_Adjusted_Prices!K111/Raw_Adjusted_Prices!K110-1</f>
        <v/>
      </c>
      <c r="L109" s="21">
        <f>Raw_Adjusted_Prices!L111/Raw_Adjusted_Prices!L110-1</f>
        <v/>
      </c>
      <c r="M109" s="21">
        <f>Raw_Adjusted_Prices!M111/Raw_Adjusted_Prices!M110-1</f>
        <v/>
      </c>
      <c r="N109" s="21">
        <f>Raw_Adjusted_Prices!N111/Raw_Adjusted_Prices!N110-1</f>
        <v/>
      </c>
      <c r="O109" s="21">
        <f>Raw_Adjusted_Prices!O111/Raw_Adjusted_Prices!O110-1</f>
        <v/>
      </c>
      <c r="P109" s="21">
        <f>Raw_Adjusted_Prices!P111/Raw_Adjusted_Prices!P110-1</f>
        <v/>
      </c>
      <c r="Q109" s="21">
        <f>Raw_Adjusted_Prices!Q111/Raw_Adjusted_Prices!Q110-1</f>
        <v/>
      </c>
      <c r="R109" s="21">
        <f>Raw_Adjusted_Prices!R111/Raw_Adjusted_Prices!R110-1</f>
        <v/>
      </c>
      <c r="S109" s="21">
        <f>Raw_Adjusted_Prices!S111/Raw_Adjusted_Prices!S110-1</f>
        <v/>
      </c>
      <c r="T109" s="21">
        <f>Raw_Adjusted_Prices!T111/Raw_Adjusted_Prices!T110-1</f>
        <v/>
      </c>
      <c r="U109" s="21">
        <f>Raw_Adjusted_Prices!U111/Raw_Adjusted_Prices!U110-1</f>
        <v/>
      </c>
      <c r="V109" s="21">
        <f>Raw_Adjusted_Prices!V111/Raw_Adjusted_Prices!V110-1</f>
        <v/>
      </c>
      <c r="W109" s="21">
        <f>Raw_Adjusted_Prices!W111/Raw_Adjusted_Prices!W110-1</f>
        <v/>
      </c>
      <c r="X109" s="21">
        <f>Raw_Adjusted_Prices!X111/Raw_Adjusted_Prices!X110-1</f>
        <v/>
      </c>
      <c r="Y109" s="21">
        <f>Raw_Adjusted_Prices!Y111/Raw_Adjusted_Prices!Y110-1</f>
        <v/>
      </c>
      <c r="Z109" s="21">
        <f>Raw_Adjusted_Prices!Z111/Raw_Adjusted_Prices!Z110-1</f>
        <v/>
      </c>
      <c r="AA109" s="21">
        <f>Raw_Adjusted_Prices!AA111/Raw_Adjusted_Prices!AA110-1</f>
        <v/>
      </c>
      <c r="AB109" s="21">
        <f>Raw_Adjusted_Prices!AB111/Raw_Adjusted_Prices!AB110-1</f>
        <v/>
      </c>
      <c r="AC109" s="21">
        <f>Raw_Adjusted_Prices!AC111/Raw_Adjusted_Prices!AC110-1</f>
        <v/>
      </c>
      <c r="AD109" s="21">
        <f>Raw_Adjusted_Prices!AD111/Raw_Adjusted_Prices!AD110-1</f>
        <v/>
      </c>
      <c r="AE109" s="21">
        <f>Raw_Adjusted_Prices!AE111/Raw_Adjusted_Prices!AE110-1</f>
        <v/>
      </c>
      <c r="AF109" s="21">
        <f>Raw_Adjusted_Prices!AF111/Raw_Adjusted_Prices!AF110-1</f>
        <v/>
      </c>
      <c r="AG109" s="21">
        <f>Raw_Adjusted_Prices!AG111/Raw_Adjusted_Prices!AG110-1</f>
        <v/>
      </c>
      <c r="AH109" s="21">
        <f>Raw_Adjusted_Prices!AH111/Raw_Adjusted_Prices!AH110-1</f>
        <v/>
      </c>
      <c r="AI109" s="21">
        <f>Raw_Adjusted_Prices!AI111/Raw_Adjusted_Prices!AI110-1</f>
        <v/>
      </c>
      <c r="AJ109" s="21">
        <f>Raw_Adjusted_Prices!AJ111/Raw_Adjusted_Prices!AJ110-1</f>
        <v/>
      </c>
      <c r="AK109" s="21">
        <f>Raw_Adjusted_Prices!AK111/Raw_Adjusted_Prices!AK110-1</f>
        <v/>
      </c>
      <c r="AL109" s="21">
        <f>Raw_Adjusted_Prices!AL111/Raw_Adjusted_Prices!AL110-1</f>
        <v/>
      </c>
      <c r="AM109" s="21">
        <f>Raw_Adjusted_Prices!AM111/Raw_Adjusted_Prices!AM110-1</f>
        <v/>
      </c>
      <c r="AN109" s="21">
        <f>Raw_Adjusted_Prices!AN111/Raw_Adjusted_Prices!AN110-1</f>
        <v/>
      </c>
    </row>
    <row r="110">
      <c r="A110" s="19" t="inlineStr">
        <is>
          <t>2023-11-01</t>
        </is>
      </c>
      <c r="B110" s="21">
        <f>Raw_Adjusted_Prices!B112/Raw_Adjusted_Prices!B111-1</f>
        <v/>
      </c>
      <c r="C110" s="21">
        <f>Raw_Adjusted_Prices!C112/Raw_Adjusted_Prices!C111-1</f>
        <v/>
      </c>
      <c r="D110" s="21">
        <f>Raw_Adjusted_Prices!D112/Raw_Adjusted_Prices!D111-1</f>
        <v/>
      </c>
      <c r="E110" s="21">
        <f>Raw_Adjusted_Prices!E112/Raw_Adjusted_Prices!E111-1</f>
        <v/>
      </c>
      <c r="F110" s="21">
        <f>Raw_Adjusted_Prices!F112/Raw_Adjusted_Prices!F111-1</f>
        <v/>
      </c>
      <c r="G110" s="21">
        <f>Raw_Adjusted_Prices!G112/Raw_Adjusted_Prices!G111-1</f>
        <v/>
      </c>
      <c r="H110" s="21">
        <f>Raw_Adjusted_Prices!H112/Raw_Adjusted_Prices!H111-1</f>
        <v/>
      </c>
      <c r="I110" s="21">
        <f>Raw_Adjusted_Prices!I112/Raw_Adjusted_Prices!I111-1</f>
        <v/>
      </c>
      <c r="J110" s="21">
        <f>Raw_Adjusted_Prices!J112/Raw_Adjusted_Prices!J111-1</f>
        <v/>
      </c>
      <c r="K110" s="21">
        <f>Raw_Adjusted_Prices!K112/Raw_Adjusted_Prices!K111-1</f>
        <v/>
      </c>
      <c r="L110" s="21">
        <f>Raw_Adjusted_Prices!L112/Raw_Adjusted_Prices!L111-1</f>
        <v/>
      </c>
      <c r="M110" s="21">
        <f>Raw_Adjusted_Prices!M112/Raw_Adjusted_Prices!M111-1</f>
        <v/>
      </c>
      <c r="N110" s="21">
        <f>Raw_Adjusted_Prices!N112/Raw_Adjusted_Prices!N111-1</f>
        <v/>
      </c>
      <c r="O110" s="21">
        <f>Raw_Adjusted_Prices!O112/Raw_Adjusted_Prices!O111-1</f>
        <v/>
      </c>
      <c r="P110" s="21">
        <f>Raw_Adjusted_Prices!P112/Raw_Adjusted_Prices!P111-1</f>
        <v/>
      </c>
      <c r="Q110" s="21">
        <f>Raw_Adjusted_Prices!Q112/Raw_Adjusted_Prices!Q111-1</f>
        <v/>
      </c>
      <c r="R110" s="21">
        <f>Raw_Adjusted_Prices!R112/Raw_Adjusted_Prices!R111-1</f>
        <v/>
      </c>
      <c r="S110" s="21">
        <f>Raw_Adjusted_Prices!S112/Raw_Adjusted_Prices!S111-1</f>
        <v/>
      </c>
      <c r="T110" s="21">
        <f>Raw_Adjusted_Prices!T112/Raw_Adjusted_Prices!T111-1</f>
        <v/>
      </c>
      <c r="U110" s="21">
        <f>Raw_Adjusted_Prices!U112/Raw_Adjusted_Prices!U111-1</f>
        <v/>
      </c>
      <c r="V110" s="21">
        <f>Raw_Adjusted_Prices!V112/Raw_Adjusted_Prices!V111-1</f>
        <v/>
      </c>
      <c r="W110" s="21">
        <f>Raw_Adjusted_Prices!W112/Raw_Adjusted_Prices!W111-1</f>
        <v/>
      </c>
      <c r="X110" s="21">
        <f>Raw_Adjusted_Prices!X112/Raw_Adjusted_Prices!X111-1</f>
        <v/>
      </c>
      <c r="Y110" s="21">
        <f>Raw_Adjusted_Prices!Y112/Raw_Adjusted_Prices!Y111-1</f>
        <v/>
      </c>
      <c r="Z110" s="21">
        <f>Raw_Adjusted_Prices!Z112/Raw_Adjusted_Prices!Z111-1</f>
        <v/>
      </c>
      <c r="AA110" s="21">
        <f>Raw_Adjusted_Prices!AA112/Raw_Adjusted_Prices!AA111-1</f>
        <v/>
      </c>
      <c r="AB110" s="21">
        <f>Raw_Adjusted_Prices!AB112/Raw_Adjusted_Prices!AB111-1</f>
        <v/>
      </c>
      <c r="AC110" s="21">
        <f>Raw_Adjusted_Prices!AC112/Raw_Adjusted_Prices!AC111-1</f>
        <v/>
      </c>
      <c r="AD110" s="21">
        <f>Raw_Adjusted_Prices!AD112/Raw_Adjusted_Prices!AD111-1</f>
        <v/>
      </c>
      <c r="AE110" s="21">
        <f>Raw_Adjusted_Prices!AE112/Raw_Adjusted_Prices!AE111-1</f>
        <v/>
      </c>
      <c r="AF110" s="21">
        <f>Raw_Adjusted_Prices!AF112/Raw_Adjusted_Prices!AF111-1</f>
        <v/>
      </c>
      <c r="AG110" s="21">
        <f>Raw_Adjusted_Prices!AG112/Raw_Adjusted_Prices!AG111-1</f>
        <v/>
      </c>
      <c r="AH110" s="21">
        <f>Raw_Adjusted_Prices!AH112/Raw_Adjusted_Prices!AH111-1</f>
        <v/>
      </c>
      <c r="AI110" s="21">
        <f>Raw_Adjusted_Prices!AI112/Raw_Adjusted_Prices!AI111-1</f>
        <v/>
      </c>
      <c r="AJ110" s="21">
        <f>Raw_Adjusted_Prices!AJ112/Raw_Adjusted_Prices!AJ111-1</f>
        <v/>
      </c>
      <c r="AK110" s="21">
        <f>Raw_Adjusted_Prices!AK112/Raw_Adjusted_Prices!AK111-1</f>
        <v/>
      </c>
      <c r="AL110" s="21">
        <f>Raw_Adjusted_Prices!AL112/Raw_Adjusted_Prices!AL111-1</f>
        <v/>
      </c>
      <c r="AM110" s="21">
        <f>Raw_Adjusted_Prices!AM112/Raw_Adjusted_Prices!AM111-1</f>
        <v/>
      </c>
      <c r="AN110" s="21">
        <f>Raw_Adjusted_Prices!AN112/Raw_Adjusted_Prices!AN111-1</f>
        <v/>
      </c>
    </row>
    <row r="111">
      <c r="A111" s="19" t="inlineStr">
        <is>
          <t>2023-12-01</t>
        </is>
      </c>
      <c r="B111" s="21">
        <f>Raw_Adjusted_Prices!B113/Raw_Adjusted_Prices!B112-1</f>
        <v/>
      </c>
      <c r="C111" s="21">
        <f>Raw_Adjusted_Prices!C113/Raw_Adjusted_Prices!C112-1</f>
        <v/>
      </c>
      <c r="D111" s="21">
        <f>Raw_Adjusted_Prices!D113/Raw_Adjusted_Prices!D112-1</f>
        <v/>
      </c>
      <c r="E111" s="21">
        <f>Raw_Adjusted_Prices!E113/Raw_Adjusted_Prices!E112-1</f>
        <v/>
      </c>
      <c r="F111" s="21">
        <f>Raw_Adjusted_Prices!F113/Raw_Adjusted_Prices!F112-1</f>
        <v/>
      </c>
      <c r="G111" s="21">
        <f>Raw_Adjusted_Prices!G113/Raw_Adjusted_Prices!G112-1</f>
        <v/>
      </c>
      <c r="H111" s="21">
        <f>Raw_Adjusted_Prices!H113/Raw_Adjusted_Prices!H112-1</f>
        <v/>
      </c>
      <c r="I111" s="21">
        <f>Raw_Adjusted_Prices!I113/Raw_Adjusted_Prices!I112-1</f>
        <v/>
      </c>
      <c r="J111" s="21">
        <f>Raw_Adjusted_Prices!J113/Raw_Adjusted_Prices!J112-1</f>
        <v/>
      </c>
      <c r="K111" s="21">
        <f>Raw_Adjusted_Prices!K113/Raw_Adjusted_Prices!K112-1</f>
        <v/>
      </c>
      <c r="L111" s="21">
        <f>Raw_Adjusted_Prices!L113/Raw_Adjusted_Prices!L112-1</f>
        <v/>
      </c>
      <c r="M111" s="21">
        <f>Raw_Adjusted_Prices!M113/Raw_Adjusted_Prices!M112-1</f>
        <v/>
      </c>
      <c r="N111" s="21">
        <f>Raw_Adjusted_Prices!N113/Raw_Adjusted_Prices!N112-1</f>
        <v/>
      </c>
      <c r="O111" s="21">
        <f>Raw_Adjusted_Prices!O113/Raw_Adjusted_Prices!O112-1</f>
        <v/>
      </c>
      <c r="P111" s="21">
        <f>Raw_Adjusted_Prices!P113/Raw_Adjusted_Prices!P112-1</f>
        <v/>
      </c>
      <c r="Q111" s="21">
        <f>Raw_Adjusted_Prices!Q113/Raw_Adjusted_Prices!Q112-1</f>
        <v/>
      </c>
      <c r="R111" s="21">
        <f>Raw_Adjusted_Prices!R113/Raw_Adjusted_Prices!R112-1</f>
        <v/>
      </c>
      <c r="S111" s="21">
        <f>Raw_Adjusted_Prices!S113/Raw_Adjusted_Prices!S112-1</f>
        <v/>
      </c>
      <c r="T111" s="21">
        <f>Raw_Adjusted_Prices!T113/Raw_Adjusted_Prices!T112-1</f>
        <v/>
      </c>
      <c r="U111" s="21">
        <f>Raw_Adjusted_Prices!U113/Raw_Adjusted_Prices!U112-1</f>
        <v/>
      </c>
      <c r="V111" s="21">
        <f>Raw_Adjusted_Prices!V113/Raw_Adjusted_Prices!V112-1</f>
        <v/>
      </c>
      <c r="W111" s="21">
        <f>Raw_Adjusted_Prices!W113/Raw_Adjusted_Prices!W112-1</f>
        <v/>
      </c>
      <c r="X111" s="21">
        <f>Raw_Adjusted_Prices!X113/Raw_Adjusted_Prices!X112-1</f>
        <v/>
      </c>
      <c r="Y111" s="21">
        <f>Raw_Adjusted_Prices!Y113/Raw_Adjusted_Prices!Y112-1</f>
        <v/>
      </c>
      <c r="Z111" s="21">
        <f>Raw_Adjusted_Prices!Z113/Raw_Adjusted_Prices!Z112-1</f>
        <v/>
      </c>
      <c r="AA111" s="21">
        <f>Raw_Adjusted_Prices!AA113/Raw_Adjusted_Prices!AA112-1</f>
        <v/>
      </c>
      <c r="AB111" s="21">
        <f>Raw_Adjusted_Prices!AB113/Raw_Adjusted_Prices!AB112-1</f>
        <v/>
      </c>
      <c r="AC111" s="21">
        <f>Raw_Adjusted_Prices!AC113/Raw_Adjusted_Prices!AC112-1</f>
        <v/>
      </c>
      <c r="AD111" s="21">
        <f>Raw_Adjusted_Prices!AD113/Raw_Adjusted_Prices!AD112-1</f>
        <v/>
      </c>
      <c r="AE111" s="21">
        <f>Raw_Adjusted_Prices!AE113/Raw_Adjusted_Prices!AE112-1</f>
        <v/>
      </c>
      <c r="AF111" s="21">
        <f>Raw_Adjusted_Prices!AF113/Raw_Adjusted_Prices!AF112-1</f>
        <v/>
      </c>
      <c r="AG111" s="21">
        <f>Raw_Adjusted_Prices!AG113/Raw_Adjusted_Prices!AG112-1</f>
        <v/>
      </c>
      <c r="AH111" s="21">
        <f>Raw_Adjusted_Prices!AH113/Raw_Adjusted_Prices!AH112-1</f>
        <v/>
      </c>
      <c r="AI111" s="21">
        <f>Raw_Adjusted_Prices!AI113/Raw_Adjusted_Prices!AI112-1</f>
        <v/>
      </c>
      <c r="AJ111" s="21">
        <f>Raw_Adjusted_Prices!AJ113/Raw_Adjusted_Prices!AJ112-1</f>
        <v/>
      </c>
      <c r="AK111" s="21">
        <f>Raw_Adjusted_Prices!AK113/Raw_Adjusted_Prices!AK112-1</f>
        <v/>
      </c>
      <c r="AL111" s="21">
        <f>Raw_Adjusted_Prices!AL113/Raw_Adjusted_Prices!AL112-1</f>
        <v/>
      </c>
      <c r="AM111" s="21">
        <f>Raw_Adjusted_Prices!AM113/Raw_Adjusted_Prices!AM112-1</f>
        <v/>
      </c>
      <c r="AN111" s="21">
        <f>Raw_Adjusted_Prices!AN113/Raw_Adjusted_Prices!AN112-1</f>
        <v/>
      </c>
    </row>
    <row r="112">
      <c r="A112" s="19" t="inlineStr">
        <is>
          <t>2024-01-01</t>
        </is>
      </c>
      <c r="B112" s="21">
        <f>Raw_Adjusted_Prices!B114/Raw_Adjusted_Prices!B113-1</f>
        <v/>
      </c>
      <c r="C112" s="21">
        <f>Raw_Adjusted_Prices!C114/Raw_Adjusted_Prices!C113-1</f>
        <v/>
      </c>
      <c r="D112" s="21">
        <f>Raw_Adjusted_Prices!D114/Raw_Adjusted_Prices!D113-1</f>
        <v/>
      </c>
      <c r="E112" s="21">
        <f>Raw_Adjusted_Prices!E114/Raw_Adjusted_Prices!E113-1</f>
        <v/>
      </c>
      <c r="F112" s="21">
        <f>Raw_Adjusted_Prices!F114/Raw_Adjusted_Prices!F113-1</f>
        <v/>
      </c>
      <c r="G112" s="21">
        <f>Raw_Adjusted_Prices!G114/Raw_Adjusted_Prices!G113-1</f>
        <v/>
      </c>
      <c r="H112" s="21">
        <f>Raw_Adjusted_Prices!H114/Raw_Adjusted_Prices!H113-1</f>
        <v/>
      </c>
      <c r="I112" s="21">
        <f>Raw_Adjusted_Prices!I114/Raw_Adjusted_Prices!I113-1</f>
        <v/>
      </c>
      <c r="J112" s="21">
        <f>Raw_Adjusted_Prices!J114/Raw_Adjusted_Prices!J113-1</f>
        <v/>
      </c>
      <c r="K112" s="21">
        <f>Raw_Adjusted_Prices!K114/Raw_Adjusted_Prices!K113-1</f>
        <v/>
      </c>
      <c r="L112" s="21">
        <f>Raw_Adjusted_Prices!L114/Raw_Adjusted_Prices!L113-1</f>
        <v/>
      </c>
      <c r="M112" s="21">
        <f>Raw_Adjusted_Prices!M114/Raw_Adjusted_Prices!M113-1</f>
        <v/>
      </c>
      <c r="N112" s="21">
        <f>Raw_Adjusted_Prices!N114/Raw_Adjusted_Prices!N113-1</f>
        <v/>
      </c>
      <c r="O112" s="21">
        <f>Raw_Adjusted_Prices!O114/Raw_Adjusted_Prices!O113-1</f>
        <v/>
      </c>
      <c r="P112" s="21">
        <f>Raw_Adjusted_Prices!P114/Raw_Adjusted_Prices!P113-1</f>
        <v/>
      </c>
      <c r="Q112" s="21">
        <f>Raw_Adjusted_Prices!Q114/Raw_Adjusted_Prices!Q113-1</f>
        <v/>
      </c>
      <c r="R112" s="21">
        <f>Raw_Adjusted_Prices!R114/Raw_Adjusted_Prices!R113-1</f>
        <v/>
      </c>
      <c r="S112" s="21">
        <f>Raw_Adjusted_Prices!S114/Raw_Adjusted_Prices!S113-1</f>
        <v/>
      </c>
      <c r="T112" s="21">
        <f>Raw_Adjusted_Prices!T114/Raw_Adjusted_Prices!T113-1</f>
        <v/>
      </c>
      <c r="U112" s="21">
        <f>Raw_Adjusted_Prices!U114/Raw_Adjusted_Prices!U113-1</f>
        <v/>
      </c>
      <c r="V112" s="21">
        <f>Raw_Adjusted_Prices!V114/Raw_Adjusted_Prices!V113-1</f>
        <v/>
      </c>
      <c r="W112" s="21">
        <f>Raw_Adjusted_Prices!W114/Raw_Adjusted_Prices!W113-1</f>
        <v/>
      </c>
      <c r="X112" s="21">
        <f>Raw_Adjusted_Prices!X114/Raw_Adjusted_Prices!X113-1</f>
        <v/>
      </c>
      <c r="Y112" s="21">
        <f>Raw_Adjusted_Prices!Y114/Raw_Adjusted_Prices!Y113-1</f>
        <v/>
      </c>
      <c r="Z112" s="21">
        <f>Raw_Adjusted_Prices!Z114/Raw_Adjusted_Prices!Z113-1</f>
        <v/>
      </c>
      <c r="AA112" s="21">
        <f>Raw_Adjusted_Prices!AA114/Raw_Adjusted_Prices!AA113-1</f>
        <v/>
      </c>
      <c r="AB112" s="21">
        <f>Raw_Adjusted_Prices!AB114/Raw_Adjusted_Prices!AB113-1</f>
        <v/>
      </c>
      <c r="AC112" s="21">
        <f>Raw_Adjusted_Prices!AC114/Raw_Adjusted_Prices!AC113-1</f>
        <v/>
      </c>
      <c r="AD112" s="21">
        <f>Raw_Adjusted_Prices!AD114/Raw_Adjusted_Prices!AD113-1</f>
        <v/>
      </c>
      <c r="AE112" s="21">
        <f>Raw_Adjusted_Prices!AE114/Raw_Adjusted_Prices!AE113-1</f>
        <v/>
      </c>
      <c r="AF112" s="21">
        <f>Raw_Adjusted_Prices!AF114/Raw_Adjusted_Prices!AF113-1</f>
        <v/>
      </c>
      <c r="AG112" s="21">
        <f>Raw_Adjusted_Prices!AG114/Raw_Adjusted_Prices!AG113-1</f>
        <v/>
      </c>
      <c r="AH112" s="21">
        <f>Raw_Adjusted_Prices!AH114/Raw_Adjusted_Prices!AH113-1</f>
        <v/>
      </c>
      <c r="AI112" s="21">
        <f>Raw_Adjusted_Prices!AI114/Raw_Adjusted_Prices!AI113-1</f>
        <v/>
      </c>
      <c r="AJ112" s="21">
        <f>Raw_Adjusted_Prices!AJ114/Raw_Adjusted_Prices!AJ113-1</f>
        <v/>
      </c>
      <c r="AK112" s="21">
        <f>Raw_Adjusted_Prices!AK114/Raw_Adjusted_Prices!AK113-1</f>
        <v/>
      </c>
      <c r="AL112" s="21">
        <f>Raw_Adjusted_Prices!AL114/Raw_Adjusted_Prices!AL113-1</f>
        <v/>
      </c>
      <c r="AM112" s="21">
        <f>Raw_Adjusted_Prices!AM114/Raw_Adjusted_Prices!AM113-1</f>
        <v/>
      </c>
      <c r="AN112" s="21">
        <f>Raw_Adjusted_Prices!AN114/Raw_Adjusted_Prices!AN113-1</f>
        <v/>
      </c>
    </row>
    <row r="113">
      <c r="A113" s="19" t="inlineStr">
        <is>
          <t>2024-02-01</t>
        </is>
      </c>
      <c r="B113" s="21">
        <f>Raw_Adjusted_Prices!B115/Raw_Adjusted_Prices!B114-1</f>
        <v/>
      </c>
      <c r="C113" s="21">
        <f>Raw_Adjusted_Prices!C115/Raw_Adjusted_Prices!C114-1</f>
        <v/>
      </c>
      <c r="D113" s="21">
        <f>Raw_Adjusted_Prices!D115/Raw_Adjusted_Prices!D114-1</f>
        <v/>
      </c>
      <c r="E113" s="21">
        <f>Raw_Adjusted_Prices!E115/Raw_Adjusted_Prices!E114-1</f>
        <v/>
      </c>
      <c r="F113" s="21">
        <f>Raw_Adjusted_Prices!F115/Raw_Adjusted_Prices!F114-1</f>
        <v/>
      </c>
      <c r="G113" s="21">
        <f>Raw_Adjusted_Prices!G115/Raw_Adjusted_Prices!G114-1</f>
        <v/>
      </c>
      <c r="H113" s="21">
        <f>Raw_Adjusted_Prices!H115/Raw_Adjusted_Prices!H114-1</f>
        <v/>
      </c>
      <c r="I113" s="21">
        <f>Raw_Adjusted_Prices!I115/Raw_Adjusted_Prices!I114-1</f>
        <v/>
      </c>
      <c r="J113" s="21">
        <f>Raw_Adjusted_Prices!J115/Raw_Adjusted_Prices!J114-1</f>
        <v/>
      </c>
      <c r="K113" s="21">
        <f>Raw_Adjusted_Prices!K115/Raw_Adjusted_Prices!K114-1</f>
        <v/>
      </c>
      <c r="L113" s="21">
        <f>Raw_Adjusted_Prices!L115/Raw_Adjusted_Prices!L114-1</f>
        <v/>
      </c>
      <c r="M113" s="21">
        <f>Raw_Adjusted_Prices!M115/Raw_Adjusted_Prices!M114-1</f>
        <v/>
      </c>
      <c r="N113" s="21">
        <f>Raw_Adjusted_Prices!N115/Raw_Adjusted_Prices!N114-1</f>
        <v/>
      </c>
      <c r="O113" s="21">
        <f>Raw_Adjusted_Prices!O115/Raw_Adjusted_Prices!O114-1</f>
        <v/>
      </c>
      <c r="P113" s="21">
        <f>Raw_Adjusted_Prices!P115/Raw_Adjusted_Prices!P114-1</f>
        <v/>
      </c>
      <c r="Q113" s="21">
        <f>Raw_Adjusted_Prices!Q115/Raw_Adjusted_Prices!Q114-1</f>
        <v/>
      </c>
      <c r="R113" s="21">
        <f>Raw_Adjusted_Prices!R115/Raw_Adjusted_Prices!R114-1</f>
        <v/>
      </c>
      <c r="S113" s="21">
        <f>Raw_Adjusted_Prices!S115/Raw_Adjusted_Prices!S114-1</f>
        <v/>
      </c>
      <c r="T113" s="21">
        <f>Raw_Adjusted_Prices!T115/Raw_Adjusted_Prices!T114-1</f>
        <v/>
      </c>
      <c r="U113" s="21">
        <f>Raw_Adjusted_Prices!U115/Raw_Adjusted_Prices!U114-1</f>
        <v/>
      </c>
      <c r="V113" s="21">
        <f>Raw_Adjusted_Prices!V115/Raw_Adjusted_Prices!V114-1</f>
        <v/>
      </c>
      <c r="W113" s="21">
        <f>Raw_Adjusted_Prices!W115/Raw_Adjusted_Prices!W114-1</f>
        <v/>
      </c>
      <c r="X113" s="21">
        <f>Raw_Adjusted_Prices!X115/Raw_Adjusted_Prices!X114-1</f>
        <v/>
      </c>
      <c r="Y113" s="21">
        <f>Raw_Adjusted_Prices!Y115/Raw_Adjusted_Prices!Y114-1</f>
        <v/>
      </c>
      <c r="Z113" s="21">
        <f>Raw_Adjusted_Prices!Z115/Raw_Adjusted_Prices!Z114-1</f>
        <v/>
      </c>
      <c r="AA113" s="21">
        <f>Raw_Adjusted_Prices!AA115/Raw_Adjusted_Prices!AA114-1</f>
        <v/>
      </c>
      <c r="AB113" s="21">
        <f>Raw_Adjusted_Prices!AB115/Raw_Adjusted_Prices!AB114-1</f>
        <v/>
      </c>
      <c r="AC113" s="21">
        <f>Raw_Adjusted_Prices!AC115/Raw_Adjusted_Prices!AC114-1</f>
        <v/>
      </c>
      <c r="AD113" s="21">
        <f>Raw_Adjusted_Prices!AD115/Raw_Adjusted_Prices!AD114-1</f>
        <v/>
      </c>
      <c r="AE113" s="21">
        <f>Raw_Adjusted_Prices!AE115/Raw_Adjusted_Prices!AE114-1</f>
        <v/>
      </c>
      <c r="AF113" s="21">
        <f>Raw_Adjusted_Prices!AF115/Raw_Adjusted_Prices!AF114-1</f>
        <v/>
      </c>
      <c r="AG113" s="21">
        <f>Raw_Adjusted_Prices!AG115/Raw_Adjusted_Prices!AG114-1</f>
        <v/>
      </c>
      <c r="AH113" s="21">
        <f>Raw_Adjusted_Prices!AH115/Raw_Adjusted_Prices!AH114-1</f>
        <v/>
      </c>
      <c r="AI113" s="21">
        <f>Raw_Adjusted_Prices!AI115/Raw_Adjusted_Prices!AI114-1</f>
        <v/>
      </c>
      <c r="AJ113" s="21">
        <f>Raw_Adjusted_Prices!AJ115/Raw_Adjusted_Prices!AJ114-1</f>
        <v/>
      </c>
      <c r="AK113" s="21">
        <f>Raw_Adjusted_Prices!AK115/Raw_Adjusted_Prices!AK114-1</f>
        <v/>
      </c>
      <c r="AL113" s="21">
        <f>Raw_Adjusted_Prices!AL115/Raw_Adjusted_Prices!AL114-1</f>
        <v/>
      </c>
      <c r="AM113" s="21">
        <f>Raw_Adjusted_Prices!AM115/Raw_Adjusted_Prices!AM114-1</f>
        <v/>
      </c>
      <c r="AN113" s="21">
        <f>Raw_Adjusted_Prices!AN115/Raw_Adjusted_Prices!AN114-1</f>
        <v/>
      </c>
    </row>
    <row r="114">
      <c r="A114" s="19" t="inlineStr">
        <is>
          <t>2024-03-01</t>
        </is>
      </c>
      <c r="B114" s="21">
        <f>Raw_Adjusted_Prices!B116/Raw_Adjusted_Prices!B115-1</f>
        <v/>
      </c>
      <c r="C114" s="21">
        <f>Raw_Adjusted_Prices!C116/Raw_Adjusted_Prices!C115-1</f>
        <v/>
      </c>
      <c r="D114" s="21">
        <f>Raw_Adjusted_Prices!D116/Raw_Adjusted_Prices!D115-1</f>
        <v/>
      </c>
      <c r="E114" s="21">
        <f>Raw_Adjusted_Prices!E116/Raw_Adjusted_Prices!E115-1</f>
        <v/>
      </c>
      <c r="F114" s="21">
        <f>Raw_Adjusted_Prices!F116/Raw_Adjusted_Prices!F115-1</f>
        <v/>
      </c>
      <c r="G114" s="21">
        <f>Raw_Adjusted_Prices!G116/Raw_Adjusted_Prices!G115-1</f>
        <v/>
      </c>
      <c r="H114" s="21">
        <f>Raw_Adjusted_Prices!H116/Raw_Adjusted_Prices!H115-1</f>
        <v/>
      </c>
      <c r="I114" s="21">
        <f>Raw_Adjusted_Prices!I116/Raw_Adjusted_Prices!I115-1</f>
        <v/>
      </c>
      <c r="J114" s="21">
        <f>Raw_Adjusted_Prices!J116/Raw_Adjusted_Prices!J115-1</f>
        <v/>
      </c>
      <c r="K114" s="21">
        <f>Raw_Adjusted_Prices!K116/Raw_Adjusted_Prices!K115-1</f>
        <v/>
      </c>
      <c r="L114" s="21">
        <f>Raw_Adjusted_Prices!L116/Raw_Adjusted_Prices!L115-1</f>
        <v/>
      </c>
      <c r="M114" s="21">
        <f>Raw_Adjusted_Prices!M116/Raw_Adjusted_Prices!M115-1</f>
        <v/>
      </c>
      <c r="N114" s="21">
        <f>Raw_Adjusted_Prices!N116/Raw_Adjusted_Prices!N115-1</f>
        <v/>
      </c>
      <c r="O114" s="21">
        <f>Raw_Adjusted_Prices!O116/Raw_Adjusted_Prices!O115-1</f>
        <v/>
      </c>
      <c r="P114" s="21">
        <f>Raw_Adjusted_Prices!P116/Raw_Adjusted_Prices!P115-1</f>
        <v/>
      </c>
      <c r="Q114" s="21">
        <f>Raw_Adjusted_Prices!Q116/Raw_Adjusted_Prices!Q115-1</f>
        <v/>
      </c>
      <c r="R114" s="21">
        <f>Raw_Adjusted_Prices!R116/Raw_Adjusted_Prices!R115-1</f>
        <v/>
      </c>
      <c r="S114" s="21">
        <f>Raw_Adjusted_Prices!S116/Raw_Adjusted_Prices!S115-1</f>
        <v/>
      </c>
      <c r="T114" s="21">
        <f>Raw_Adjusted_Prices!T116/Raw_Adjusted_Prices!T115-1</f>
        <v/>
      </c>
      <c r="U114" s="21">
        <f>Raw_Adjusted_Prices!U116/Raw_Adjusted_Prices!U115-1</f>
        <v/>
      </c>
      <c r="V114" s="21">
        <f>Raw_Adjusted_Prices!V116/Raw_Adjusted_Prices!V115-1</f>
        <v/>
      </c>
      <c r="W114" s="21">
        <f>Raw_Adjusted_Prices!W116/Raw_Adjusted_Prices!W115-1</f>
        <v/>
      </c>
      <c r="X114" s="21">
        <f>Raw_Adjusted_Prices!X116/Raw_Adjusted_Prices!X115-1</f>
        <v/>
      </c>
      <c r="Y114" s="21">
        <f>Raw_Adjusted_Prices!Y116/Raw_Adjusted_Prices!Y115-1</f>
        <v/>
      </c>
      <c r="Z114" s="21">
        <f>Raw_Adjusted_Prices!Z116/Raw_Adjusted_Prices!Z115-1</f>
        <v/>
      </c>
      <c r="AA114" s="21">
        <f>Raw_Adjusted_Prices!AA116/Raw_Adjusted_Prices!AA115-1</f>
        <v/>
      </c>
      <c r="AB114" s="21">
        <f>Raw_Adjusted_Prices!AB116/Raw_Adjusted_Prices!AB115-1</f>
        <v/>
      </c>
      <c r="AC114" s="21">
        <f>Raw_Adjusted_Prices!AC116/Raw_Adjusted_Prices!AC115-1</f>
        <v/>
      </c>
      <c r="AD114" s="21">
        <f>Raw_Adjusted_Prices!AD116/Raw_Adjusted_Prices!AD115-1</f>
        <v/>
      </c>
      <c r="AE114" s="21">
        <f>Raw_Adjusted_Prices!AE116/Raw_Adjusted_Prices!AE115-1</f>
        <v/>
      </c>
      <c r="AF114" s="21">
        <f>Raw_Adjusted_Prices!AF116/Raw_Adjusted_Prices!AF115-1</f>
        <v/>
      </c>
      <c r="AG114" s="21">
        <f>Raw_Adjusted_Prices!AG116/Raw_Adjusted_Prices!AG115-1</f>
        <v/>
      </c>
      <c r="AH114" s="21">
        <f>Raw_Adjusted_Prices!AH116/Raw_Adjusted_Prices!AH115-1</f>
        <v/>
      </c>
      <c r="AI114" s="21">
        <f>Raw_Adjusted_Prices!AI116/Raw_Adjusted_Prices!AI115-1</f>
        <v/>
      </c>
      <c r="AJ114" s="21">
        <f>Raw_Adjusted_Prices!AJ116/Raw_Adjusted_Prices!AJ115-1</f>
        <v/>
      </c>
      <c r="AK114" s="21">
        <f>Raw_Adjusted_Prices!AK116/Raw_Adjusted_Prices!AK115-1</f>
        <v/>
      </c>
      <c r="AL114" s="21">
        <f>Raw_Adjusted_Prices!AL116/Raw_Adjusted_Prices!AL115-1</f>
        <v/>
      </c>
      <c r="AM114" s="21">
        <f>Raw_Adjusted_Prices!AM116/Raw_Adjusted_Prices!AM115-1</f>
        <v/>
      </c>
      <c r="AN114" s="21">
        <f>Raw_Adjusted_Prices!AN116/Raw_Adjusted_Prices!AN115-1</f>
        <v/>
      </c>
    </row>
    <row r="115">
      <c r="A115" s="19" t="inlineStr">
        <is>
          <t>2024-04-01</t>
        </is>
      </c>
      <c r="B115" s="21">
        <f>Raw_Adjusted_Prices!B117/Raw_Adjusted_Prices!B116-1</f>
        <v/>
      </c>
      <c r="C115" s="21">
        <f>Raw_Adjusted_Prices!C117/Raw_Adjusted_Prices!C116-1</f>
        <v/>
      </c>
      <c r="D115" s="21">
        <f>Raw_Adjusted_Prices!D117/Raw_Adjusted_Prices!D116-1</f>
        <v/>
      </c>
      <c r="E115" s="21">
        <f>Raw_Adjusted_Prices!E117/Raw_Adjusted_Prices!E116-1</f>
        <v/>
      </c>
      <c r="F115" s="21">
        <f>Raw_Adjusted_Prices!F117/Raw_Adjusted_Prices!F116-1</f>
        <v/>
      </c>
      <c r="G115" s="21">
        <f>Raw_Adjusted_Prices!G117/Raw_Adjusted_Prices!G116-1</f>
        <v/>
      </c>
      <c r="H115" s="21">
        <f>Raw_Adjusted_Prices!H117/Raw_Adjusted_Prices!H116-1</f>
        <v/>
      </c>
      <c r="I115" s="21">
        <f>Raw_Adjusted_Prices!I117/Raw_Adjusted_Prices!I116-1</f>
        <v/>
      </c>
      <c r="J115" s="21">
        <f>Raw_Adjusted_Prices!J117/Raw_Adjusted_Prices!J116-1</f>
        <v/>
      </c>
      <c r="K115" s="21">
        <f>Raw_Adjusted_Prices!K117/Raw_Adjusted_Prices!K116-1</f>
        <v/>
      </c>
      <c r="L115" s="21">
        <f>Raw_Adjusted_Prices!L117/Raw_Adjusted_Prices!L116-1</f>
        <v/>
      </c>
      <c r="M115" s="21">
        <f>Raw_Adjusted_Prices!M117/Raw_Adjusted_Prices!M116-1</f>
        <v/>
      </c>
      <c r="N115" s="21">
        <f>Raw_Adjusted_Prices!N117/Raw_Adjusted_Prices!N116-1</f>
        <v/>
      </c>
      <c r="O115" s="21">
        <f>Raw_Adjusted_Prices!O117/Raw_Adjusted_Prices!O116-1</f>
        <v/>
      </c>
      <c r="P115" s="21">
        <f>Raw_Adjusted_Prices!P117/Raw_Adjusted_Prices!P116-1</f>
        <v/>
      </c>
      <c r="Q115" s="21">
        <f>Raw_Adjusted_Prices!Q117/Raw_Adjusted_Prices!Q116-1</f>
        <v/>
      </c>
      <c r="R115" s="21">
        <f>Raw_Adjusted_Prices!R117/Raw_Adjusted_Prices!R116-1</f>
        <v/>
      </c>
      <c r="S115" s="21">
        <f>Raw_Adjusted_Prices!S117/Raw_Adjusted_Prices!S116-1</f>
        <v/>
      </c>
      <c r="T115" s="21">
        <f>Raw_Adjusted_Prices!T117/Raw_Adjusted_Prices!T116-1</f>
        <v/>
      </c>
      <c r="U115" s="21">
        <f>Raw_Adjusted_Prices!U117/Raw_Adjusted_Prices!U116-1</f>
        <v/>
      </c>
      <c r="V115" s="21">
        <f>Raw_Adjusted_Prices!V117/Raw_Adjusted_Prices!V116-1</f>
        <v/>
      </c>
      <c r="W115" s="21">
        <f>Raw_Adjusted_Prices!W117/Raw_Adjusted_Prices!W116-1</f>
        <v/>
      </c>
      <c r="X115" s="21">
        <f>Raw_Adjusted_Prices!X117/Raw_Adjusted_Prices!X116-1</f>
        <v/>
      </c>
      <c r="Y115" s="21">
        <f>Raw_Adjusted_Prices!Y117/Raw_Adjusted_Prices!Y116-1</f>
        <v/>
      </c>
      <c r="Z115" s="21">
        <f>Raw_Adjusted_Prices!Z117/Raw_Adjusted_Prices!Z116-1</f>
        <v/>
      </c>
      <c r="AA115" s="21">
        <f>Raw_Adjusted_Prices!AA117/Raw_Adjusted_Prices!AA116-1</f>
        <v/>
      </c>
      <c r="AB115" s="21">
        <f>Raw_Adjusted_Prices!AB117/Raw_Adjusted_Prices!AB116-1</f>
        <v/>
      </c>
      <c r="AC115" s="21">
        <f>Raw_Adjusted_Prices!AC117/Raw_Adjusted_Prices!AC116-1</f>
        <v/>
      </c>
      <c r="AD115" s="21">
        <f>Raw_Adjusted_Prices!AD117/Raw_Adjusted_Prices!AD116-1</f>
        <v/>
      </c>
      <c r="AE115" s="21">
        <f>Raw_Adjusted_Prices!AE117/Raw_Adjusted_Prices!AE116-1</f>
        <v/>
      </c>
      <c r="AF115" s="21">
        <f>Raw_Adjusted_Prices!AF117/Raw_Adjusted_Prices!AF116-1</f>
        <v/>
      </c>
      <c r="AG115" s="21">
        <f>Raw_Adjusted_Prices!AG117/Raw_Adjusted_Prices!AG116-1</f>
        <v/>
      </c>
      <c r="AH115" s="21">
        <f>Raw_Adjusted_Prices!AH117/Raw_Adjusted_Prices!AH116-1</f>
        <v/>
      </c>
      <c r="AI115" s="21">
        <f>Raw_Adjusted_Prices!AI117/Raw_Adjusted_Prices!AI116-1</f>
        <v/>
      </c>
      <c r="AJ115" s="21">
        <f>Raw_Adjusted_Prices!AJ117/Raw_Adjusted_Prices!AJ116-1</f>
        <v/>
      </c>
      <c r="AK115" s="21">
        <f>Raw_Adjusted_Prices!AK117/Raw_Adjusted_Prices!AK116-1</f>
        <v/>
      </c>
      <c r="AL115" s="21">
        <f>Raw_Adjusted_Prices!AL117/Raw_Adjusted_Prices!AL116-1</f>
        <v/>
      </c>
      <c r="AM115" s="21">
        <f>Raw_Adjusted_Prices!AM117/Raw_Adjusted_Prices!AM116-1</f>
        <v/>
      </c>
      <c r="AN115" s="21">
        <f>Raw_Adjusted_Prices!AN117/Raw_Adjusted_Prices!AN116-1</f>
        <v/>
      </c>
    </row>
    <row r="116">
      <c r="A116" s="19" t="inlineStr">
        <is>
          <t>2024-05-01</t>
        </is>
      </c>
      <c r="B116" s="21">
        <f>Raw_Adjusted_Prices!B118/Raw_Adjusted_Prices!B117-1</f>
        <v/>
      </c>
      <c r="C116" s="21">
        <f>Raw_Adjusted_Prices!C118/Raw_Adjusted_Prices!C117-1</f>
        <v/>
      </c>
      <c r="D116" s="21">
        <f>Raw_Adjusted_Prices!D118/Raw_Adjusted_Prices!D117-1</f>
        <v/>
      </c>
      <c r="E116" s="21">
        <f>Raw_Adjusted_Prices!E118/Raw_Adjusted_Prices!E117-1</f>
        <v/>
      </c>
      <c r="F116" s="21">
        <f>Raw_Adjusted_Prices!F118/Raw_Adjusted_Prices!F117-1</f>
        <v/>
      </c>
      <c r="G116" s="21">
        <f>Raw_Adjusted_Prices!G118/Raw_Adjusted_Prices!G117-1</f>
        <v/>
      </c>
      <c r="H116" s="21">
        <f>Raw_Adjusted_Prices!H118/Raw_Adjusted_Prices!H117-1</f>
        <v/>
      </c>
      <c r="I116" s="21">
        <f>Raw_Adjusted_Prices!I118/Raw_Adjusted_Prices!I117-1</f>
        <v/>
      </c>
      <c r="J116" s="21">
        <f>Raw_Adjusted_Prices!J118/Raw_Adjusted_Prices!J117-1</f>
        <v/>
      </c>
      <c r="K116" s="21">
        <f>Raw_Adjusted_Prices!K118/Raw_Adjusted_Prices!K117-1</f>
        <v/>
      </c>
      <c r="L116" s="21">
        <f>Raw_Adjusted_Prices!L118/Raw_Adjusted_Prices!L117-1</f>
        <v/>
      </c>
      <c r="M116" s="21">
        <f>Raw_Adjusted_Prices!M118/Raw_Adjusted_Prices!M117-1</f>
        <v/>
      </c>
      <c r="N116" s="21">
        <f>Raw_Adjusted_Prices!N118/Raw_Adjusted_Prices!N117-1</f>
        <v/>
      </c>
      <c r="O116" s="21">
        <f>Raw_Adjusted_Prices!O118/Raw_Adjusted_Prices!O117-1</f>
        <v/>
      </c>
      <c r="P116" s="21">
        <f>Raw_Adjusted_Prices!P118/Raw_Adjusted_Prices!P117-1</f>
        <v/>
      </c>
      <c r="Q116" s="21">
        <f>Raw_Adjusted_Prices!Q118/Raw_Adjusted_Prices!Q117-1</f>
        <v/>
      </c>
      <c r="R116" s="21">
        <f>Raw_Adjusted_Prices!R118/Raw_Adjusted_Prices!R117-1</f>
        <v/>
      </c>
      <c r="S116" s="21">
        <f>Raw_Adjusted_Prices!S118/Raw_Adjusted_Prices!S117-1</f>
        <v/>
      </c>
      <c r="T116" s="21">
        <f>Raw_Adjusted_Prices!T118/Raw_Adjusted_Prices!T117-1</f>
        <v/>
      </c>
      <c r="U116" s="21">
        <f>Raw_Adjusted_Prices!U118/Raw_Adjusted_Prices!U117-1</f>
        <v/>
      </c>
      <c r="V116" s="21">
        <f>Raw_Adjusted_Prices!V118/Raw_Adjusted_Prices!V117-1</f>
        <v/>
      </c>
      <c r="W116" s="21">
        <f>Raw_Adjusted_Prices!W118/Raw_Adjusted_Prices!W117-1</f>
        <v/>
      </c>
      <c r="X116" s="21">
        <f>Raw_Adjusted_Prices!X118/Raw_Adjusted_Prices!X117-1</f>
        <v/>
      </c>
      <c r="Y116" s="21">
        <f>Raw_Adjusted_Prices!Y118/Raw_Adjusted_Prices!Y117-1</f>
        <v/>
      </c>
      <c r="Z116" s="21">
        <f>Raw_Adjusted_Prices!Z118/Raw_Adjusted_Prices!Z117-1</f>
        <v/>
      </c>
      <c r="AA116" s="21">
        <f>Raw_Adjusted_Prices!AA118/Raw_Adjusted_Prices!AA117-1</f>
        <v/>
      </c>
      <c r="AB116" s="21">
        <f>Raw_Adjusted_Prices!AB118/Raw_Adjusted_Prices!AB117-1</f>
        <v/>
      </c>
      <c r="AC116" s="21">
        <f>Raw_Adjusted_Prices!AC118/Raw_Adjusted_Prices!AC117-1</f>
        <v/>
      </c>
      <c r="AD116" s="21">
        <f>Raw_Adjusted_Prices!AD118/Raw_Adjusted_Prices!AD117-1</f>
        <v/>
      </c>
      <c r="AE116" s="21">
        <f>Raw_Adjusted_Prices!AE118/Raw_Adjusted_Prices!AE117-1</f>
        <v/>
      </c>
      <c r="AF116" s="21">
        <f>Raw_Adjusted_Prices!AF118/Raw_Adjusted_Prices!AF117-1</f>
        <v/>
      </c>
      <c r="AG116" s="21">
        <f>Raw_Adjusted_Prices!AG118/Raw_Adjusted_Prices!AG117-1</f>
        <v/>
      </c>
      <c r="AH116" s="21">
        <f>Raw_Adjusted_Prices!AH118/Raw_Adjusted_Prices!AH117-1</f>
        <v/>
      </c>
      <c r="AI116" s="21">
        <f>Raw_Adjusted_Prices!AI118/Raw_Adjusted_Prices!AI117-1</f>
        <v/>
      </c>
      <c r="AJ116" s="21">
        <f>Raw_Adjusted_Prices!AJ118/Raw_Adjusted_Prices!AJ117-1</f>
        <v/>
      </c>
      <c r="AK116" s="21">
        <f>Raw_Adjusted_Prices!AK118/Raw_Adjusted_Prices!AK117-1</f>
        <v/>
      </c>
      <c r="AL116" s="21">
        <f>Raw_Adjusted_Prices!AL118/Raw_Adjusted_Prices!AL117-1</f>
        <v/>
      </c>
      <c r="AM116" s="21">
        <f>Raw_Adjusted_Prices!AM118/Raw_Adjusted_Prices!AM117-1</f>
        <v/>
      </c>
      <c r="AN116" s="21">
        <f>Raw_Adjusted_Prices!AN118/Raw_Adjusted_Prices!AN117-1</f>
        <v/>
      </c>
    </row>
    <row r="117">
      <c r="A117" s="19" t="inlineStr">
        <is>
          <t>2024-06-01</t>
        </is>
      </c>
      <c r="B117" s="21">
        <f>Raw_Adjusted_Prices!B119/Raw_Adjusted_Prices!B118-1</f>
        <v/>
      </c>
      <c r="C117" s="21">
        <f>Raw_Adjusted_Prices!C119/Raw_Adjusted_Prices!C118-1</f>
        <v/>
      </c>
      <c r="D117" s="21">
        <f>Raw_Adjusted_Prices!D119/Raw_Adjusted_Prices!D118-1</f>
        <v/>
      </c>
      <c r="E117" s="21">
        <f>Raw_Adjusted_Prices!E119/Raw_Adjusted_Prices!E118-1</f>
        <v/>
      </c>
      <c r="F117" s="21">
        <f>Raw_Adjusted_Prices!F119/Raw_Adjusted_Prices!F118-1</f>
        <v/>
      </c>
      <c r="G117" s="21">
        <f>Raw_Adjusted_Prices!G119/Raw_Adjusted_Prices!G118-1</f>
        <v/>
      </c>
      <c r="H117" s="21">
        <f>Raw_Adjusted_Prices!H119/Raw_Adjusted_Prices!H118-1</f>
        <v/>
      </c>
      <c r="I117" s="21">
        <f>Raw_Adjusted_Prices!I119/Raw_Adjusted_Prices!I118-1</f>
        <v/>
      </c>
      <c r="J117" s="21">
        <f>Raw_Adjusted_Prices!J119/Raw_Adjusted_Prices!J118-1</f>
        <v/>
      </c>
      <c r="K117" s="21">
        <f>Raw_Adjusted_Prices!K119/Raw_Adjusted_Prices!K118-1</f>
        <v/>
      </c>
      <c r="L117" s="21">
        <f>Raw_Adjusted_Prices!L119/Raw_Adjusted_Prices!L118-1</f>
        <v/>
      </c>
      <c r="M117" s="21">
        <f>Raw_Adjusted_Prices!M119/Raw_Adjusted_Prices!M118-1</f>
        <v/>
      </c>
      <c r="N117" s="21">
        <f>Raw_Adjusted_Prices!N119/Raw_Adjusted_Prices!N118-1</f>
        <v/>
      </c>
      <c r="O117" s="21">
        <f>Raw_Adjusted_Prices!O119/Raw_Adjusted_Prices!O118-1</f>
        <v/>
      </c>
      <c r="P117" s="21">
        <f>Raw_Adjusted_Prices!P119/Raw_Adjusted_Prices!P118-1</f>
        <v/>
      </c>
      <c r="Q117" s="21">
        <f>Raw_Adjusted_Prices!Q119/Raw_Adjusted_Prices!Q118-1</f>
        <v/>
      </c>
      <c r="R117" s="21">
        <f>Raw_Adjusted_Prices!R119/Raw_Adjusted_Prices!R118-1</f>
        <v/>
      </c>
      <c r="S117" s="21">
        <f>Raw_Adjusted_Prices!S119/Raw_Adjusted_Prices!S118-1</f>
        <v/>
      </c>
      <c r="T117" s="21">
        <f>Raw_Adjusted_Prices!T119/Raw_Adjusted_Prices!T118-1</f>
        <v/>
      </c>
      <c r="U117" s="21">
        <f>Raw_Adjusted_Prices!U119/Raw_Adjusted_Prices!U118-1</f>
        <v/>
      </c>
      <c r="V117" s="21">
        <f>Raw_Adjusted_Prices!V119/Raw_Adjusted_Prices!V118-1</f>
        <v/>
      </c>
      <c r="W117" s="21">
        <f>Raw_Adjusted_Prices!W119/Raw_Adjusted_Prices!W118-1</f>
        <v/>
      </c>
      <c r="X117" s="21">
        <f>Raw_Adjusted_Prices!X119/Raw_Adjusted_Prices!X118-1</f>
        <v/>
      </c>
      <c r="Y117" s="21">
        <f>Raw_Adjusted_Prices!Y119/Raw_Adjusted_Prices!Y118-1</f>
        <v/>
      </c>
      <c r="Z117" s="21">
        <f>Raw_Adjusted_Prices!Z119/Raw_Adjusted_Prices!Z118-1</f>
        <v/>
      </c>
      <c r="AA117" s="21">
        <f>Raw_Adjusted_Prices!AA119/Raw_Adjusted_Prices!AA118-1</f>
        <v/>
      </c>
      <c r="AB117" s="21">
        <f>Raw_Adjusted_Prices!AB119/Raw_Adjusted_Prices!AB118-1</f>
        <v/>
      </c>
      <c r="AC117" s="21">
        <f>Raw_Adjusted_Prices!AC119/Raw_Adjusted_Prices!AC118-1</f>
        <v/>
      </c>
      <c r="AD117" s="21">
        <f>Raw_Adjusted_Prices!AD119/Raw_Adjusted_Prices!AD118-1</f>
        <v/>
      </c>
      <c r="AE117" s="21">
        <f>Raw_Adjusted_Prices!AE119/Raw_Adjusted_Prices!AE118-1</f>
        <v/>
      </c>
      <c r="AF117" s="21">
        <f>Raw_Adjusted_Prices!AF119/Raw_Adjusted_Prices!AF118-1</f>
        <v/>
      </c>
      <c r="AG117" s="21">
        <f>Raw_Adjusted_Prices!AG119/Raw_Adjusted_Prices!AG118-1</f>
        <v/>
      </c>
      <c r="AH117" s="21">
        <f>Raw_Adjusted_Prices!AH119/Raw_Adjusted_Prices!AH118-1</f>
        <v/>
      </c>
      <c r="AI117" s="21">
        <f>Raw_Adjusted_Prices!AI119/Raw_Adjusted_Prices!AI118-1</f>
        <v/>
      </c>
      <c r="AJ117" s="21">
        <f>Raw_Adjusted_Prices!AJ119/Raw_Adjusted_Prices!AJ118-1</f>
        <v/>
      </c>
      <c r="AK117" s="21">
        <f>Raw_Adjusted_Prices!AK119/Raw_Adjusted_Prices!AK118-1</f>
        <v/>
      </c>
      <c r="AL117" s="21">
        <f>Raw_Adjusted_Prices!AL119/Raw_Adjusted_Prices!AL118-1</f>
        <v/>
      </c>
      <c r="AM117" s="21">
        <f>Raw_Adjusted_Prices!AM119/Raw_Adjusted_Prices!AM118-1</f>
        <v/>
      </c>
      <c r="AN117" s="21">
        <f>Raw_Adjusted_Prices!AN119/Raw_Adjusted_Prices!AN118-1</f>
        <v/>
      </c>
    </row>
    <row r="118">
      <c r="A118" s="19" t="inlineStr">
        <is>
          <t>2024-07-01</t>
        </is>
      </c>
      <c r="B118" s="21">
        <f>Raw_Adjusted_Prices!B120/Raw_Adjusted_Prices!B119-1</f>
        <v/>
      </c>
      <c r="C118" s="21">
        <f>Raw_Adjusted_Prices!C120/Raw_Adjusted_Prices!C119-1</f>
        <v/>
      </c>
      <c r="D118" s="21">
        <f>Raw_Adjusted_Prices!D120/Raw_Adjusted_Prices!D119-1</f>
        <v/>
      </c>
      <c r="E118" s="21">
        <f>Raw_Adjusted_Prices!E120/Raw_Adjusted_Prices!E119-1</f>
        <v/>
      </c>
      <c r="F118" s="21">
        <f>Raw_Adjusted_Prices!F120/Raw_Adjusted_Prices!F119-1</f>
        <v/>
      </c>
      <c r="G118" s="21">
        <f>Raw_Adjusted_Prices!G120/Raw_Adjusted_Prices!G119-1</f>
        <v/>
      </c>
      <c r="H118" s="21">
        <f>Raw_Adjusted_Prices!H120/Raw_Adjusted_Prices!H119-1</f>
        <v/>
      </c>
      <c r="I118" s="21">
        <f>Raw_Adjusted_Prices!I120/Raw_Adjusted_Prices!I119-1</f>
        <v/>
      </c>
      <c r="J118" s="21">
        <f>Raw_Adjusted_Prices!J120/Raw_Adjusted_Prices!J119-1</f>
        <v/>
      </c>
      <c r="K118" s="21">
        <f>Raw_Adjusted_Prices!K120/Raw_Adjusted_Prices!K119-1</f>
        <v/>
      </c>
      <c r="L118" s="21">
        <f>Raw_Adjusted_Prices!L120/Raw_Adjusted_Prices!L119-1</f>
        <v/>
      </c>
      <c r="M118" s="21">
        <f>Raw_Adjusted_Prices!M120/Raw_Adjusted_Prices!M119-1</f>
        <v/>
      </c>
      <c r="N118" s="21">
        <f>Raw_Adjusted_Prices!N120/Raw_Adjusted_Prices!N119-1</f>
        <v/>
      </c>
      <c r="O118" s="21">
        <f>Raw_Adjusted_Prices!O120/Raw_Adjusted_Prices!O119-1</f>
        <v/>
      </c>
      <c r="P118" s="21">
        <f>Raw_Adjusted_Prices!P120/Raw_Adjusted_Prices!P119-1</f>
        <v/>
      </c>
      <c r="Q118" s="21">
        <f>Raw_Adjusted_Prices!Q120/Raw_Adjusted_Prices!Q119-1</f>
        <v/>
      </c>
      <c r="R118" s="21">
        <f>Raw_Adjusted_Prices!R120/Raw_Adjusted_Prices!R119-1</f>
        <v/>
      </c>
      <c r="S118" s="21">
        <f>Raw_Adjusted_Prices!S120/Raw_Adjusted_Prices!S119-1</f>
        <v/>
      </c>
      <c r="T118" s="21">
        <f>Raw_Adjusted_Prices!T120/Raw_Adjusted_Prices!T119-1</f>
        <v/>
      </c>
      <c r="U118" s="21">
        <f>Raw_Adjusted_Prices!U120/Raw_Adjusted_Prices!U119-1</f>
        <v/>
      </c>
      <c r="V118" s="21">
        <f>Raw_Adjusted_Prices!V120/Raw_Adjusted_Prices!V119-1</f>
        <v/>
      </c>
      <c r="W118" s="21">
        <f>Raw_Adjusted_Prices!W120/Raw_Adjusted_Prices!W119-1</f>
        <v/>
      </c>
      <c r="X118" s="21">
        <f>Raw_Adjusted_Prices!X120/Raw_Adjusted_Prices!X119-1</f>
        <v/>
      </c>
      <c r="Y118" s="21">
        <f>Raw_Adjusted_Prices!Y120/Raw_Adjusted_Prices!Y119-1</f>
        <v/>
      </c>
      <c r="Z118" s="21">
        <f>Raw_Adjusted_Prices!Z120/Raw_Adjusted_Prices!Z119-1</f>
        <v/>
      </c>
      <c r="AA118" s="21">
        <f>Raw_Adjusted_Prices!AA120/Raw_Adjusted_Prices!AA119-1</f>
        <v/>
      </c>
      <c r="AB118" s="21">
        <f>Raw_Adjusted_Prices!AB120/Raw_Adjusted_Prices!AB119-1</f>
        <v/>
      </c>
      <c r="AC118" s="21">
        <f>Raw_Adjusted_Prices!AC120/Raw_Adjusted_Prices!AC119-1</f>
        <v/>
      </c>
      <c r="AD118" s="21">
        <f>Raw_Adjusted_Prices!AD120/Raw_Adjusted_Prices!AD119-1</f>
        <v/>
      </c>
      <c r="AE118" s="21">
        <f>Raw_Adjusted_Prices!AE120/Raw_Adjusted_Prices!AE119-1</f>
        <v/>
      </c>
      <c r="AF118" s="21">
        <f>Raw_Adjusted_Prices!AF120/Raw_Adjusted_Prices!AF119-1</f>
        <v/>
      </c>
      <c r="AG118" s="21">
        <f>Raw_Adjusted_Prices!AG120/Raw_Adjusted_Prices!AG119-1</f>
        <v/>
      </c>
      <c r="AH118" s="21">
        <f>Raw_Adjusted_Prices!AH120/Raw_Adjusted_Prices!AH119-1</f>
        <v/>
      </c>
      <c r="AI118" s="21">
        <f>Raw_Adjusted_Prices!AI120/Raw_Adjusted_Prices!AI119-1</f>
        <v/>
      </c>
      <c r="AJ118" s="21">
        <f>Raw_Adjusted_Prices!AJ120/Raw_Adjusted_Prices!AJ119-1</f>
        <v/>
      </c>
      <c r="AK118" s="21">
        <f>Raw_Adjusted_Prices!AK120/Raw_Adjusted_Prices!AK119-1</f>
        <v/>
      </c>
      <c r="AL118" s="21">
        <f>Raw_Adjusted_Prices!AL120/Raw_Adjusted_Prices!AL119-1</f>
        <v/>
      </c>
      <c r="AM118" s="21">
        <f>Raw_Adjusted_Prices!AM120/Raw_Adjusted_Prices!AM119-1</f>
        <v/>
      </c>
      <c r="AN118" s="21">
        <f>Raw_Adjusted_Prices!AN120/Raw_Adjusted_Prices!AN119-1</f>
        <v/>
      </c>
    </row>
    <row r="119">
      <c r="A119" s="19" t="inlineStr">
        <is>
          <t>2024-08-01</t>
        </is>
      </c>
      <c r="B119" s="21">
        <f>Raw_Adjusted_Prices!B121/Raw_Adjusted_Prices!B120-1</f>
        <v/>
      </c>
      <c r="C119" s="21">
        <f>Raw_Adjusted_Prices!C121/Raw_Adjusted_Prices!C120-1</f>
        <v/>
      </c>
      <c r="D119" s="21">
        <f>Raw_Adjusted_Prices!D121/Raw_Adjusted_Prices!D120-1</f>
        <v/>
      </c>
      <c r="E119" s="21">
        <f>Raw_Adjusted_Prices!E121/Raw_Adjusted_Prices!E120-1</f>
        <v/>
      </c>
      <c r="F119" s="21">
        <f>Raw_Adjusted_Prices!F121/Raw_Adjusted_Prices!F120-1</f>
        <v/>
      </c>
      <c r="G119" s="21">
        <f>Raw_Adjusted_Prices!G121/Raw_Adjusted_Prices!G120-1</f>
        <v/>
      </c>
      <c r="H119" s="21">
        <f>Raw_Adjusted_Prices!H121/Raw_Adjusted_Prices!H120-1</f>
        <v/>
      </c>
      <c r="I119" s="21">
        <f>Raw_Adjusted_Prices!I121/Raw_Adjusted_Prices!I120-1</f>
        <v/>
      </c>
      <c r="J119" s="21">
        <f>Raw_Adjusted_Prices!J121/Raw_Adjusted_Prices!J120-1</f>
        <v/>
      </c>
      <c r="K119" s="21">
        <f>Raw_Adjusted_Prices!K121/Raw_Adjusted_Prices!K120-1</f>
        <v/>
      </c>
      <c r="L119" s="21">
        <f>Raw_Adjusted_Prices!L121/Raw_Adjusted_Prices!L120-1</f>
        <v/>
      </c>
      <c r="M119" s="21">
        <f>Raw_Adjusted_Prices!M121/Raw_Adjusted_Prices!M120-1</f>
        <v/>
      </c>
      <c r="N119" s="21">
        <f>Raw_Adjusted_Prices!N121/Raw_Adjusted_Prices!N120-1</f>
        <v/>
      </c>
      <c r="O119" s="21">
        <f>Raw_Adjusted_Prices!O121/Raw_Adjusted_Prices!O120-1</f>
        <v/>
      </c>
      <c r="P119" s="21">
        <f>Raw_Adjusted_Prices!P121/Raw_Adjusted_Prices!P120-1</f>
        <v/>
      </c>
      <c r="Q119" s="21">
        <f>Raw_Adjusted_Prices!Q121/Raw_Adjusted_Prices!Q120-1</f>
        <v/>
      </c>
      <c r="R119" s="21">
        <f>Raw_Adjusted_Prices!R121/Raw_Adjusted_Prices!R120-1</f>
        <v/>
      </c>
      <c r="S119" s="21">
        <f>Raw_Adjusted_Prices!S121/Raw_Adjusted_Prices!S120-1</f>
        <v/>
      </c>
      <c r="T119" s="21">
        <f>Raw_Adjusted_Prices!T121/Raw_Adjusted_Prices!T120-1</f>
        <v/>
      </c>
      <c r="U119" s="21">
        <f>Raw_Adjusted_Prices!U121/Raw_Adjusted_Prices!U120-1</f>
        <v/>
      </c>
      <c r="V119" s="21">
        <f>Raw_Adjusted_Prices!V121/Raw_Adjusted_Prices!V120-1</f>
        <v/>
      </c>
      <c r="W119" s="21">
        <f>Raw_Adjusted_Prices!W121/Raw_Adjusted_Prices!W120-1</f>
        <v/>
      </c>
      <c r="X119" s="21">
        <f>Raw_Adjusted_Prices!X121/Raw_Adjusted_Prices!X120-1</f>
        <v/>
      </c>
      <c r="Y119" s="21">
        <f>Raw_Adjusted_Prices!Y121/Raw_Adjusted_Prices!Y120-1</f>
        <v/>
      </c>
      <c r="Z119" s="21">
        <f>Raw_Adjusted_Prices!Z121/Raw_Adjusted_Prices!Z120-1</f>
        <v/>
      </c>
      <c r="AA119" s="21">
        <f>Raw_Adjusted_Prices!AA121/Raw_Adjusted_Prices!AA120-1</f>
        <v/>
      </c>
      <c r="AB119" s="21">
        <f>Raw_Adjusted_Prices!AB121/Raw_Adjusted_Prices!AB120-1</f>
        <v/>
      </c>
      <c r="AC119" s="21">
        <f>Raw_Adjusted_Prices!AC121/Raw_Adjusted_Prices!AC120-1</f>
        <v/>
      </c>
      <c r="AD119" s="21">
        <f>Raw_Adjusted_Prices!AD121/Raw_Adjusted_Prices!AD120-1</f>
        <v/>
      </c>
      <c r="AE119" s="21">
        <f>Raw_Adjusted_Prices!AE121/Raw_Adjusted_Prices!AE120-1</f>
        <v/>
      </c>
      <c r="AF119" s="21">
        <f>Raw_Adjusted_Prices!AF121/Raw_Adjusted_Prices!AF120-1</f>
        <v/>
      </c>
      <c r="AG119" s="21">
        <f>Raw_Adjusted_Prices!AG121/Raw_Adjusted_Prices!AG120-1</f>
        <v/>
      </c>
      <c r="AH119" s="21">
        <f>Raw_Adjusted_Prices!AH121/Raw_Adjusted_Prices!AH120-1</f>
        <v/>
      </c>
      <c r="AI119" s="21">
        <f>Raw_Adjusted_Prices!AI121/Raw_Adjusted_Prices!AI120-1</f>
        <v/>
      </c>
      <c r="AJ119" s="21">
        <f>Raw_Adjusted_Prices!AJ121/Raw_Adjusted_Prices!AJ120-1</f>
        <v/>
      </c>
      <c r="AK119" s="21">
        <f>Raw_Adjusted_Prices!AK121/Raw_Adjusted_Prices!AK120-1</f>
        <v/>
      </c>
      <c r="AL119" s="21">
        <f>Raw_Adjusted_Prices!AL121/Raw_Adjusted_Prices!AL120-1</f>
        <v/>
      </c>
      <c r="AM119" s="21">
        <f>Raw_Adjusted_Prices!AM121/Raw_Adjusted_Prices!AM120-1</f>
        <v/>
      </c>
      <c r="AN119" s="21">
        <f>Raw_Adjusted_Prices!AN121/Raw_Adjusted_Prices!AN120-1</f>
        <v/>
      </c>
    </row>
    <row r="120">
      <c r="A120" s="19" t="inlineStr">
        <is>
          <t>2024-09-01</t>
        </is>
      </c>
      <c r="B120" s="21">
        <f>Raw_Adjusted_Prices!B122/Raw_Adjusted_Prices!B121-1</f>
        <v/>
      </c>
      <c r="C120" s="21">
        <f>Raw_Adjusted_Prices!C122/Raw_Adjusted_Prices!C121-1</f>
        <v/>
      </c>
      <c r="D120" s="21">
        <f>Raw_Adjusted_Prices!D122/Raw_Adjusted_Prices!D121-1</f>
        <v/>
      </c>
      <c r="E120" s="21">
        <f>Raw_Adjusted_Prices!E122/Raw_Adjusted_Prices!E121-1</f>
        <v/>
      </c>
      <c r="F120" s="21">
        <f>Raw_Adjusted_Prices!F122/Raw_Adjusted_Prices!F121-1</f>
        <v/>
      </c>
      <c r="G120" s="21">
        <f>Raw_Adjusted_Prices!G122/Raw_Adjusted_Prices!G121-1</f>
        <v/>
      </c>
      <c r="H120" s="21">
        <f>Raw_Adjusted_Prices!H122/Raw_Adjusted_Prices!H121-1</f>
        <v/>
      </c>
      <c r="I120" s="21">
        <f>Raw_Adjusted_Prices!I122/Raw_Adjusted_Prices!I121-1</f>
        <v/>
      </c>
      <c r="J120" s="21">
        <f>Raw_Adjusted_Prices!J122/Raw_Adjusted_Prices!J121-1</f>
        <v/>
      </c>
      <c r="K120" s="21">
        <f>Raw_Adjusted_Prices!K122/Raw_Adjusted_Prices!K121-1</f>
        <v/>
      </c>
      <c r="L120" s="21">
        <f>Raw_Adjusted_Prices!L122/Raw_Adjusted_Prices!L121-1</f>
        <v/>
      </c>
      <c r="M120" s="21">
        <f>Raw_Adjusted_Prices!M122/Raw_Adjusted_Prices!M121-1</f>
        <v/>
      </c>
      <c r="N120" s="21">
        <f>Raw_Adjusted_Prices!N122/Raw_Adjusted_Prices!N121-1</f>
        <v/>
      </c>
      <c r="O120" s="21">
        <f>Raw_Adjusted_Prices!O122/Raw_Adjusted_Prices!O121-1</f>
        <v/>
      </c>
      <c r="P120" s="21">
        <f>Raw_Adjusted_Prices!P122/Raw_Adjusted_Prices!P121-1</f>
        <v/>
      </c>
      <c r="Q120" s="21">
        <f>Raw_Adjusted_Prices!Q122/Raw_Adjusted_Prices!Q121-1</f>
        <v/>
      </c>
      <c r="R120" s="21">
        <f>Raw_Adjusted_Prices!R122/Raw_Adjusted_Prices!R121-1</f>
        <v/>
      </c>
      <c r="S120" s="21">
        <f>Raw_Adjusted_Prices!S122/Raw_Adjusted_Prices!S121-1</f>
        <v/>
      </c>
      <c r="T120" s="21">
        <f>Raw_Adjusted_Prices!T122/Raw_Adjusted_Prices!T121-1</f>
        <v/>
      </c>
      <c r="U120" s="21">
        <f>Raw_Adjusted_Prices!U122/Raw_Adjusted_Prices!U121-1</f>
        <v/>
      </c>
      <c r="V120" s="21">
        <f>Raw_Adjusted_Prices!V122/Raw_Adjusted_Prices!V121-1</f>
        <v/>
      </c>
      <c r="W120" s="21">
        <f>Raw_Adjusted_Prices!W122/Raw_Adjusted_Prices!W121-1</f>
        <v/>
      </c>
      <c r="X120" s="21">
        <f>Raw_Adjusted_Prices!X122/Raw_Adjusted_Prices!X121-1</f>
        <v/>
      </c>
      <c r="Y120" s="21">
        <f>Raw_Adjusted_Prices!Y122/Raw_Adjusted_Prices!Y121-1</f>
        <v/>
      </c>
      <c r="Z120" s="21">
        <f>Raw_Adjusted_Prices!Z122/Raw_Adjusted_Prices!Z121-1</f>
        <v/>
      </c>
      <c r="AA120" s="21">
        <f>Raw_Adjusted_Prices!AA122/Raw_Adjusted_Prices!AA121-1</f>
        <v/>
      </c>
      <c r="AB120" s="21">
        <f>Raw_Adjusted_Prices!AB122/Raw_Adjusted_Prices!AB121-1</f>
        <v/>
      </c>
      <c r="AC120" s="21">
        <f>Raw_Adjusted_Prices!AC122/Raw_Adjusted_Prices!AC121-1</f>
        <v/>
      </c>
      <c r="AD120" s="21">
        <f>Raw_Adjusted_Prices!AD122/Raw_Adjusted_Prices!AD121-1</f>
        <v/>
      </c>
      <c r="AE120" s="21">
        <f>Raw_Adjusted_Prices!AE122/Raw_Adjusted_Prices!AE121-1</f>
        <v/>
      </c>
      <c r="AF120" s="21">
        <f>Raw_Adjusted_Prices!AF122/Raw_Adjusted_Prices!AF121-1</f>
        <v/>
      </c>
      <c r="AG120" s="21">
        <f>Raw_Adjusted_Prices!AG122/Raw_Adjusted_Prices!AG121-1</f>
        <v/>
      </c>
      <c r="AH120" s="21">
        <f>Raw_Adjusted_Prices!AH122/Raw_Adjusted_Prices!AH121-1</f>
        <v/>
      </c>
      <c r="AI120" s="21">
        <f>Raw_Adjusted_Prices!AI122/Raw_Adjusted_Prices!AI121-1</f>
        <v/>
      </c>
      <c r="AJ120" s="21">
        <f>Raw_Adjusted_Prices!AJ122/Raw_Adjusted_Prices!AJ121-1</f>
        <v/>
      </c>
      <c r="AK120" s="21">
        <f>Raw_Adjusted_Prices!AK122/Raw_Adjusted_Prices!AK121-1</f>
        <v/>
      </c>
      <c r="AL120" s="21">
        <f>Raw_Adjusted_Prices!AL122/Raw_Adjusted_Prices!AL121-1</f>
        <v/>
      </c>
      <c r="AM120" s="21">
        <f>Raw_Adjusted_Prices!AM122/Raw_Adjusted_Prices!AM121-1</f>
        <v/>
      </c>
      <c r="AN120" s="21">
        <f>Raw_Adjusted_Prices!AN122/Raw_Adjusted_Prices!AN121-1</f>
        <v/>
      </c>
    </row>
    <row r="121">
      <c r="A121" s="19" t="inlineStr">
        <is>
          <t>2024-10-01</t>
        </is>
      </c>
      <c r="B121" s="21">
        <f>Raw_Adjusted_Prices!B123/Raw_Adjusted_Prices!B122-1</f>
        <v/>
      </c>
      <c r="C121" s="21">
        <f>Raw_Adjusted_Prices!C123/Raw_Adjusted_Prices!C122-1</f>
        <v/>
      </c>
      <c r="D121" s="21">
        <f>Raw_Adjusted_Prices!D123/Raw_Adjusted_Prices!D122-1</f>
        <v/>
      </c>
      <c r="E121" s="21">
        <f>Raw_Adjusted_Prices!E123/Raw_Adjusted_Prices!E122-1</f>
        <v/>
      </c>
      <c r="F121" s="21">
        <f>Raw_Adjusted_Prices!F123/Raw_Adjusted_Prices!F122-1</f>
        <v/>
      </c>
      <c r="G121" s="21">
        <f>Raw_Adjusted_Prices!G123/Raw_Adjusted_Prices!G122-1</f>
        <v/>
      </c>
      <c r="H121" s="21">
        <f>Raw_Adjusted_Prices!H123/Raw_Adjusted_Prices!H122-1</f>
        <v/>
      </c>
      <c r="I121" s="21">
        <f>Raw_Adjusted_Prices!I123/Raw_Adjusted_Prices!I122-1</f>
        <v/>
      </c>
      <c r="J121" s="21">
        <f>Raw_Adjusted_Prices!J123/Raw_Adjusted_Prices!J122-1</f>
        <v/>
      </c>
      <c r="K121" s="21">
        <f>Raw_Adjusted_Prices!K123/Raw_Adjusted_Prices!K122-1</f>
        <v/>
      </c>
      <c r="L121" s="21">
        <f>Raw_Adjusted_Prices!L123/Raw_Adjusted_Prices!L122-1</f>
        <v/>
      </c>
      <c r="M121" s="21">
        <f>Raw_Adjusted_Prices!M123/Raw_Adjusted_Prices!M122-1</f>
        <v/>
      </c>
      <c r="N121" s="21">
        <f>Raw_Adjusted_Prices!N123/Raw_Adjusted_Prices!N122-1</f>
        <v/>
      </c>
      <c r="O121" s="21">
        <f>Raw_Adjusted_Prices!O123/Raw_Adjusted_Prices!O122-1</f>
        <v/>
      </c>
      <c r="P121" s="21">
        <f>Raw_Adjusted_Prices!P123/Raw_Adjusted_Prices!P122-1</f>
        <v/>
      </c>
      <c r="Q121" s="21">
        <f>Raw_Adjusted_Prices!Q123/Raw_Adjusted_Prices!Q122-1</f>
        <v/>
      </c>
      <c r="R121" s="21">
        <f>Raw_Adjusted_Prices!R123/Raw_Adjusted_Prices!R122-1</f>
        <v/>
      </c>
      <c r="S121" s="21">
        <f>Raw_Adjusted_Prices!S123/Raw_Adjusted_Prices!S122-1</f>
        <v/>
      </c>
      <c r="T121" s="21">
        <f>Raw_Adjusted_Prices!T123/Raw_Adjusted_Prices!T122-1</f>
        <v/>
      </c>
      <c r="U121" s="21">
        <f>Raw_Adjusted_Prices!U123/Raw_Adjusted_Prices!U122-1</f>
        <v/>
      </c>
      <c r="V121" s="21">
        <f>Raw_Adjusted_Prices!V123/Raw_Adjusted_Prices!V122-1</f>
        <v/>
      </c>
      <c r="W121" s="21">
        <f>Raw_Adjusted_Prices!W123/Raw_Adjusted_Prices!W122-1</f>
        <v/>
      </c>
      <c r="X121" s="21">
        <f>Raw_Adjusted_Prices!X123/Raw_Adjusted_Prices!X122-1</f>
        <v/>
      </c>
      <c r="Y121" s="21">
        <f>Raw_Adjusted_Prices!Y123/Raw_Adjusted_Prices!Y122-1</f>
        <v/>
      </c>
      <c r="Z121" s="21">
        <f>Raw_Adjusted_Prices!Z123/Raw_Adjusted_Prices!Z122-1</f>
        <v/>
      </c>
      <c r="AA121" s="21">
        <f>Raw_Adjusted_Prices!AA123/Raw_Adjusted_Prices!AA122-1</f>
        <v/>
      </c>
      <c r="AB121" s="21">
        <f>Raw_Adjusted_Prices!AB123/Raw_Adjusted_Prices!AB122-1</f>
        <v/>
      </c>
      <c r="AC121" s="21">
        <f>Raw_Adjusted_Prices!AC123/Raw_Adjusted_Prices!AC122-1</f>
        <v/>
      </c>
      <c r="AD121" s="21">
        <f>Raw_Adjusted_Prices!AD123/Raw_Adjusted_Prices!AD122-1</f>
        <v/>
      </c>
      <c r="AE121" s="21">
        <f>Raw_Adjusted_Prices!AE123/Raw_Adjusted_Prices!AE122-1</f>
        <v/>
      </c>
      <c r="AF121" s="21">
        <f>Raw_Adjusted_Prices!AF123/Raw_Adjusted_Prices!AF122-1</f>
        <v/>
      </c>
      <c r="AG121" s="21">
        <f>Raw_Adjusted_Prices!AG123/Raw_Adjusted_Prices!AG122-1</f>
        <v/>
      </c>
      <c r="AH121" s="21">
        <f>Raw_Adjusted_Prices!AH123/Raw_Adjusted_Prices!AH122-1</f>
        <v/>
      </c>
      <c r="AI121" s="21">
        <f>Raw_Adjusted_Prices!AI123/Raw_Adjusted_Prices!AI122-1</f>
        <v/>
      </c>
      <c r="AJ121" s="21">
        <f>Raw_Adjusted_Prices!AJ123/Raw_Adjusted_Prices!AJ122-1</f>
        <v/>
      </c>
      <c r="AK121" s="21">
        <f>Raw_Adjusted_Prices!AK123/Raw_Adjusted_Prices!AK122-1</f>
        <v/>
      </c>
      <c r="AL121" s="21">
        <f>Raw_Adjusted_Prices!AL123/Raw_Adjusted_Prices!AL122-1</f>
        <v/>
      </c>
      <c r="AM121" s="21">
        <f>Raw_Adjusted_Prices!AM123/Raw_Adjusted_Prices!AM122-1</f>
        <v/>
      </c>
      <c r="AN121" s="21">
        <f>Raw_Adjusted_Prices!AN123/Raw_Adjusted_Prices!AN122-1</f>
        <v/>
      </c>
    </row>
    <row r="122">
      <c r="A122" s="19" t="inlineStr">
        <is>
          <t>2024-11-01</t>
        </is>
      </c>
      <c r="B122" s="21">
        <f>Raw_Adjusted_Prices!B124/Raw_Adjusted_Prices!B123-1</f>
        <v/>
      </c>
      <c r="C122" s="21">
        <f>Raw_Adjusted_Prices!C124/Raw_Adjusted_Prices!C123-1</f>
        <v/>
      </c>
      <c r="D122" s="21">
        <f>Raw_Adjusted_Prices!D124/Raw_Adjusted_Prices!D123-1</f>
        <v/>
      </c>
      <c r="E122" s="21">
        <f>Raw_Adjusted_Prices!E124/Raw_Adjusted_Prices!E123-1</f>
        <v/>
      </c>
      <c r="F122" s="21">
        <f>Raw_Adjusted_Prices!F124/Raw_Adjusted_Prices!F123-1</f>
        <v/>
      </c>
      <c r="G122" s="21">
        <f>Raw_Adjusted_Prices!G124/Raw_Adjusted_Prices!G123-1</f>
        <v/>
      </c>
      <c r="H122" s="21">
        <f>Raw_Adjusted_Prices!H124/Raw_Adjusted_Prices!H123-1</f>
        <v/>
      </c>
      <c r="I122" s="21">
        <f>Raw_Adjusted_Prices!I124/Raw_Adjusted_Prices!I123-1</f>
        <v/>
      </c>
      <c r="J122" s="21">
        <f>Raw_Adjusted_Prices!J124/Raw_Adjusted_Prices!J123-1</f>
        <v/>
      </c>
      <c r="K122" s="21">
        <f>Raw_Adjusted_Prices!K124/Raw_Adjusted_Prices!K123-1</f>
        <v/>
      </c>
      <c r="L122" s="21">
        <f>Raw_Adjusted_Prices!L124/Raw_Adjusted_Prices!L123-1</f>
        <v/>
      </c>
      <c r="M122" s="21">
        <f>Raw_Adjusted_Prices!M124/Raw_Adjusted_Prices!M123-1</f>
        <v/>
      </c>
      <c r="N122" s="21">
        <f>Raw_Adjusted_Prices!N124/Raw_Adjusted_Prices!N123-1</f>
        <v/>
      </c>
      <c r="O122" s="21">
        <f>Raw_Adjusted_Prices!O124/Raw_Adjusted_Prices!O123-1</f>
        <v/>
      </c>
      <c r="P122" s="21">
        <f>Raw_Adjusted_Prices!P124/Raw_Adjusted_Prices!P123-1</f>
        <v/>
      </c>
      <c r="Q122" s="21">
        <f>Raw_Adjusted_Prices!Q124/Raw_Adjusted_Prices!Q123-1</f>
        <v/>
      </c>
      <c r="R122" s="21">
        <f>Raw_Adjusted_Prices!R124/Raw_Adjusted_Prices!R123-1</f>
        <v/>
      </c>
      <c r="S122" s="21">
        <f>Raw_Adjusted_Prices!S124/Raw_Adjusted_Prices!S123-1</f>
        <v/>
      </c>
      <c r="T122" s="21">
        <f>Raw_Adjusted_Prices!T124/Raw_Adjusted_Prices!T123-1</f>
        <v/>
      </c>
      <c r="U122" s="21">
        <f>Raw_Adjusted_Prices!U124/Raw_Adjusted_Prices!U123-1</f>
        <v/>
      </c>
      <c r="V122" s="21">
        <f>Raw_Adjusted_Prices!V124/Raw_Adjusted_Prices!V123-1</f>
        <v/>
      </c>
      <c r="W122" s="21">
        <f>Raw_Adjusted_Prices!W124/Raw_Adjusted_Prices!W123-1</f>
        <v/>
      </c>
      <c r="X122" s="21">
        <f>Raw_Adjusted_Prices!X124/Raw_Adjusted_Prices!X123-1</f>
        <v/>
      </c>
      <c r="Y122" s="21">
        <f>Raw_Adjusted_Prices!Y124/Raw_Adjusted_Prices!Y123-1</f>
        <v/>
      </c>
      <c r="Z122" s="21">
        <f>Raw_Adjusted_Prices!Z124/Raw_Adjusted_Prices!Z123-1</f>
        <v/>
      </c>
      <c r="AA122" s="21">
        <f>Raw_Adjusted_Prices!AA124/Raw_Adjusted_Prices!AA123-1</f>
        <v/>
      </c>
      <c r="AB122" s="21">
        <f>Raw_Adjusted_Prices!AB124/Raw_Adjusted_Prices!AB123-1</f>
        <v/>
      </c>
      <c r="AC122" s="21">
        <f>Raw_Adjusted_Prices!AC124/Raw_Adjusted_Prices!AC123-1</f>
        <v/>
      </c>
      <c r="AD122" s="21">
        <f>Raw_Adjusted_Prices!AD124/Raw_Adjusted_Prices!AD123-1</f>
        <v/>
      </c>
      <c r="AE122" s="21">
        <f>Raw_Adjusted_Prices!AE124/Raw_Adjusted_Prices!AE123-1</f>
        <v/>
      </c>
      <c r="AF122" s="21">
        <f>Raw_Adjusted_Prices!AF124/Raw_Adjusted_Prices!AF123-1</f>
        <v/>
      </c>
      <c r="AG122" s="21">
        <f>Raw_Adjusted_Prices!AG124/Raw_Adjusted_Prices!AG123-1</f>
        <v/>
      </c>
      <c r="AH122" s="21">
        <f>Raw_Adjusted_Prices!AH124/Raw_Adjusted_Prices!AH123-1</f>
        <v/>
      </c>
      <c r="AI122" s="21">
        <f>Raw_Adjusted_Prices!AI124/Raw_Adjusted_Prices!AI123-1</f>
        <v/>
      </c>
      <c r="AJ122" s="21">
        <f>Raw_Adjusted_Prices!AJ124/Raw_Adjusted_Prices!AJ123-1</f>
        <v/>
      </c>
      <c r="AK122" s="21">
        <f>Raw_Adjusted_Prices!AK124/Raw_Adjusted_Prices!AK123-1</f>
        <v/>
      </c>
      <c r="AL122" s="21">
        <f>Raw_Adjusted_Prices!AL124/Raw_Adjusted_Prices!AL123-1</f>
        <v/>
      </c>
      <c r="AM122" s="21">
        <f>Raw_Adjusted_Prices!AM124/Raw_Adjusted_Prices!AM123-1</f>
        <v/>
      </c>
      <c r="AN122" s="21">
        <f>Raw_Adjusted_Prices!AN124/Raw_Adjusted_Prices!AN123-1</f>
        <v/>
      </c>
    </row>
    <row r="123">
      <c r="A123" s="19" t="inlineStr">
        <is>
          <t>2024-12-01</t>
        </is>
      </c>
      <c r="B123" s="21">
        <f>Raw_Adjusted_Prices!B125/Raw_Adjusted_Prices!B124-1</f>
        <v/>
      </c>
      <c r="C123" s="21">
        <f>Raw_Adjusted_Prices!C125/Raw_Adjusted_Prices!C124-1</f>
        <v/>
      </c>
      <c r="D123" s="21">
        <f>Raw_Adjusted_Prices!D125/Raw_Adjusted_Prices!D124-1</f>
        <v/>
      </c>
      <c r="E123" s="21">
        <f>Raw_Adjusted_Prices!E125/Raw_Adjusted_Prices!E124-1</f>
        <v/>
      </c>
      <c r="F123" s="21">
        <f>Raw_Adjusted_Prices!F125/Raw_Adjusted_Prices!F124-1</f>
        <v/>
      </c>
      <c r="G123" s="21">
        <f>Raw_Adjusted_Prices!G125/Raw_Adjusted_Prices!G124-1</f>
        <v/>
      </c>
      <c r="H123" s="21">
        <f>Raw_Adjusted_Prices!H125/Raw_Adjusted_Prices!H124-1</f>
        <v/>
      </c>
      <c r="I123" s="21">
        <f>Raw_Adjusted_Prices!I125/Raw_Adjusted_Prices!I124-1</f>
        <v/>
      </c>
      <c r="J123" s="21">
        <f>Raw_Adjusted_Prices!J125/Raw_Adjusted_Prices!J124-1</f>
        <v/>
      </c>
      <c r="K123" s="21">
        <f>Raw_Adjusted_Prices!K125/Raw_Adjusted_Prices!K124-1</f>
        <v/>
      </c>
      <c r="L123" s="21">
        <f>Raw_Adjusted_Prices!L125/Raw_Adjusted_Prices!L124-1</f>
        <v/>
      </c>
      <c r="M123" s="21">
        <f>Raw_Adjusted_Prices!M125/Raw_Adjusted_Prices!M124-1</f>
        <v/>
      </c>
      <c r="N123" s="21">
        <f>Raw_Adjusted_Prices!N125/Raw_Adjusted_Prices!N124-1</f>
        <v/>
      </c>
      <c r="O123" s="21">
        <f>Raw_Adjusted_Prices!O125/Raw_Adjusted_Prices!O124-1</f>
        <v/>
      </c>
      <c r="P123" s="21">
        <f>Raw_Adjusted_Prices!P125/Raw_Adjusted_Prices!P124-1</f>
        <v/>
      </c>
      <c r="Q123" s="21">
        <f>Raw_Adjusted_Prices!Q125/Raw_Adjusted_Prices!Q124-1</f>
        <v/>
      </c>
      <c r="R123" s="21">
        <f>Raw_Adjusted_Prices!R125/Raw_Adjusted_Prices!R124-1</f>
        <v/>
      </c>
      <c r="S123" s="21">
        <f>Raw_Adjusted_Prices!S125/Raw_Adjusted_Prices!S124-1</f>
        <v/>
      </c>
      <c r="T123" s="21">
        <f>Raw_Adjusted_Prices!T125/Raw_Adjusted_Prices!T124-1</f>
        <v/>
      </c>
      <c r="U123" s="21">
        <f>Raw_Adjusted_Prices!U125/Raw_Adjusted_Prices!U124-1</f>
        <v/>
      </c>
      <c r="V123" s="21">
        <f>Raw_Adjusted_Prices!V125/Raw_Adjusted_Prices!V124-1</f>
        <v/>
      </c>
      <c r="W123" s="21">
        <f>Raw_Adjusted_Prices!W125/Raw_Adjusted_Prices!W124-1</f>
        <v/>
      </c>
      <c r="X123" s="21">
        <f>Raw_Adjusted_Prices!X125/Raw_Adjusted_Prices!X124-1</f>
        <v/>
      </c>
      <c r="Y123" s="21">
        <f>Raw_Adjusted_Prices!Y125/Raw_Adjusted_Prices!Y124-1</f>
        <v/>
      </c>
      <c r="Z123" s="21">
        <f>Raw_Adjusted_Prices!Z125/Raw_Adjusted_Prices!Z124-1</f>
        <v/>
      </c>
      <c r="AA123" s="21">
        <f>Raw_Adjusted_Prices!AA125/Raw_Adjusted_Prices!AA124-1</f>
        <v/>
      </c>
      <c r="AB123" s="21">
        <f>Raw_Adjusted_Prices!AB125/Raw_Adjusted_Prices!AB124-1</f>
        <v/>
      </c>
      <c r="AC123" s="21">
        <f>Raw_Adjusted_Prices!AC125/Raw_Adjusted_Prices!AC124-1</f>
        <v/>
      </c>
      <c r="AD123" s="21">
        <f>Raw_Adjusted_Prices!AD125/Raw_Adjusted_Prices!AD124-1</f>
        <v/>
      </c>
      <c r="AE123" s="21">
        <f>Raw_Adjusted_Prices!AE125/Raw_Adjusted_Prices!AE124-1</f>
        <v/>
      </c>
      <c r="AF123" s="21">
        <f>Raw_Adjusted_Prices!AF125/Raw_Adjusted_Prices!AF124-1</f>
        <v/>
      </c>
      <c r="AG123" s="21">
        <f>Raw_Adjusted_Prices!AG125/Raw_Adjusted_Prices!AG124-1</f>
        <v/>
      </c>
      <c r="AH123" s="21">
        <f>Raw_Adjusted_Prices!AH125/Raw_Adjusted_Prices!AH124-1</f>
        <v/>
      </c>
      <c r="AI123" s="21">
        <f>Raw_Adjusted_Prices!AI125/Raw_Adjusted_Prices!AI124-1</f>
        <v/>
      </c>
      <c r="AJ123" s="21">
        <f>Raw_Adjusted_Prices!AJ125/Raw_Adjusted_Prices!AJ124-1</f>
        <v/>
      </c>
      <c r="AK123" s="21">
        <f>Raw_Adjusted_Prices!AK125/Raw_Adjusted_Prices!AK124-1</f>
        <v/>
      </c>
      <c r="AL123" s="21">
        <f>Raw_Adjusted_Prices!AL125/Raw_Adjusted_Prices!AL124-1</f>
        <v/>
      </c>
      <c r="AM123" s="21">
        <f>Raw_Adjusted_Prices!AM125/Raw_Adjusted_Prices!AM124-1</f>
        <v/>
      </c>
      <c r="AN123" s="21">
        <f>Raw_Adjusted_Prices!AN125/Raw_Adjusted_Prices!AN124-1</f>
        <v/>
      </c>
    </row>
    <row r="124">
      <c r="A124" s="19" t="inlineStr">
        <is>
          <t>2025-01-01</t>
        </is>
      </c>
      <c r="B124" s="21">
        <f>Raw_Adjusted_Prices!B126/Raw_Adjusted_Prices!B125-1</f>
        <v/>
      </c>
      <c r="C124" s="21">
        <f>Raw_Adjusted_Prices!C126/Raw_Adjusted_Prices!C125-1</f>
        <v/>
      </c>
      <c r="D124" s="21">
        <f>Raw_Adjusted_Prices!D126/Raw_Adjusted_Prices!D125-1</f>
        <v/>
      </c>
      <c r="E124" s="21">
        <f>Raw_Adjusted_Prices!E126/Raw_Adjusted_Prices!E125-1</f>
        <v/>
      </c>
      <c r="F124" s="21">
        <f>Raw_Adjusted_Prices!F126/Raw_Adjusted_Prices!F125-1</f>
        <v/>
      </c>
      <c r="G124" s="21">
        <f>Raw_Adjusted_Prices!G126/Raw_Adjusted_Prices!G125-1</f>
        <v/>
      </c>
      <c r="H124" s="21">
        <f>Raw_Adjusted_Prices!H126/Raw_Adjusted_Prices!H125-1</f>
        <v/>
      </c>
      <c r="I124" s="21">
        <f>Raw_Adjusted_Prices!I126/Raw_Adjusted_Prices!I125-1</f>
        <v/>
      </c>
      <c r="J124" s="21">
        <f>Raw_Adjusted_Prices!J126/Raw_Adjusted_Prices!J125-1</f>
        <v/>
      </c>
      <c r="K124" s="21">
        <f>Raw_Adjusted_Prices!K126/Raw_Adjusted_Prices!K125-1</f>
        <v/>
      </c>
      <c r="L124" s="21">
        <f>Raw_Adjusted_Prices!L126/Raw_Adjusted_Prices!L125-1</f>
        <v/>
      </c>
      <c r="M124" s="21">
        <f>Raw_Adjusted_Prices!M126/Raw_Adjusted_Prices!M125-1</f>
        <v/>
      </c>
      <c r="N124" s="21">
        <f>Raw_Adjusted_Prices!N126/Raw_Adjusted_Prices!N125-1</f>
        <v/>
      </c>
      <c r="O124" s="21">
        <f>Raw_Adjusted_Prices!O126/Raw_Adjusted_Prices!O125-1</f>
        <v/>
      </c>
      <c r="P124" s="21">
        <f>Raw_Adjusted_Prices!P126/Raw_Adjusted_Prices!P125-1</f>
        <v/>
      </c>
      <c r="Q124" s="21">
        <f>Raw_Adjusted_Prices!Q126/Raw_Adjusted_Prices!Q125-1</f>
        <v/>
      </c>
      <c r="R124" s="21">
        <f>Raw_Adjusted_Prices!R126/Raw_Adjusted_Prices!R125-1</f>
        <v/>
      </c>
      <c r="S124" s="21">
        <f>Raw_Adjusted_Prices!S126/Raw_Adjusted_Prices!S125-1</f>
        <v/>
      </c>
      <c r="T124" s="21">
        <f>Raw_Adjusted_Prices!T126/Raw_Adjusted_Prices!T125-1</f>
        <v/>
      </c>
      <c r="U124" s="21">
        <f>Raw_Adjusted_Prices!U126/Raw_Adjusted_Prices!U125-1</f>
        <v/>
      </c>
      <c r="V124" s="21">
        <f>Raw_Adjusted_Prices!V126/Raw_Adjusted_Prices!V125-1</f>
        <v/>
      </c>
      <c r="W124" s="21">
        <f>Raw_Adjusted_Prices!W126/Raw_Adjusted_Prices!W125-1</f>
        <v/>
      </c>
      <c r="X124" s="21">
        <f>Raw_Adjusted_Prices!X126/Raw_Adjusted_Prices!X125-1</f>
        <v/>
      </c>
      <c r="Y124" s="21">
        <f>Raw_Adjusted_Prices!Y126/Raw_Adjusted_Prices!Y125-1</f>
        <v/>
      </c>
      <c r="Z124" s="21">
        <f>Raw_Adjusted_Prices!Z126/Raw_Adjusted_Prices!Z125-1</f>
        <v/>
      </c>
      <c r="AA124" s="21">
        <f>Raw_Adjusted_Prices!AA126/Raw_Adjusted_Prices!AA125-1</f>
        <v/>
      </c>
      <c r="AB124" s="21">
        <f>Raw_Adjusted_Prices!AB126/Raw_Adjusted_Prices!AB125-1</f>
        <v/>
      </c>
      <c r="AC124" s="21">
        <f>Raw_Adjusted_Prices!AC126/Raw_Adjusted_Prices!AC125-1</f>
        <v/>
      </c>
      <c r="AD124" s="21">
        <f>Raw_Adjusted_Prices!AD126/Raw_Adjusted_Prices!AD125-1</f>
        <v/>
      </c>
      <c r="AE124" s="21">
        <f>Raw_Adjusted_Prices!AE126/Raw_Adjusted_Prices!AE125-1</f>
        <v/>
      </c>
      <c r="AF124" s="21">
        <f>Raw_Adjusted_Prices!AF126/Raw_Adjusted_Prices!AF125-1</f>
        <v/>
      </c>
      <c r="AG124" s="21">
        <f>Raw_Adjusted_Prices!AG126/Raw_Adjusted_Prices!AG125-1</f>
        <v/>
      </c>
      <c r="AH124" s="21">
        <f>Raw_Adjusted_Prices!AH126/Raw_Adjusted_Prices!AH125-1</f>
        <v/>
      </c>
      <c r="AI124" s="21">
        <f>Raw_Adjusted_Prices!AI126/Raw_Adjusted_Prices!AI125-1</f>
        <v/>
      </c>
      <c r="AJ124" s="21">
        <f>Raw_Adjusted_Prices!AJ126/Raw_Adjusted_Prices!AJ125-1</f>
        <v/>
      </c>
      <c r="AK124" s="21">
        <f>Raw_Adjusted_Prices!AK126/Raw_Adjusted_Prices!AK125-1</f>
        <v/>
      </c>
      <c r="AL124" s="21">
        <f>Raw_Adjusted_Prices!AL126/Raw_Adjusted_Prices!AL125-1</f>
        <v/>
      </c>
      <c r="AM124" s="21">
        <f>Raw_Adjusted_Prices!AM126/Raw_Adjusted_Prices!AM125-1</f>
        <v/>
      </c>
      <c r="AN124" s="21">
        <f>Raw_Adjusted_Prices!AN126/Raw_Adjusted_Prices!AN125-1</f>
        <v/>
      </c>
    </row>
    <row r="125">
      <c r="A125" s="19" t="inlineStr">
        <is>
          <t>2025-02-01</t>
        </is>
      </c>
      <c r="B125" s="21">
        <f>Raw_Adjusted_Prices!B127/Raw_Adjusted_Prices!B126-1</f>
        <v/>
      </c>
      <c r="C125" s="21">
        <f>Raw_Adjusted_Prices!C127/Raw_Adjusted_Prices!C126-1</f>
        <v/>
      </c>
      <c r="D125" s="21">
        <f>Raw_Adjusted_Prices!D127/Raw_Adjusted_Prices!D126-1</f>
        <v/>
      </c>
      <c r="E125" s="21">
        <f>Raw_Adjusted_Prices!E127/Raw_Adjusted_Prices!E126-1</f>
        <v/>
      </c>
      <c r="F125" s="21">
        <f>Raw_Adjusted_Prices!F127/Raw_Adjusted_Prices!F126-1</f>
        <v/>
      </c>
      <c r="G125" s="21">
        <f>Raw_Adjusted_Prices!G127/Raw_Adjusted_Prices!G126-1</f>
        <v/>
      </c>
      <c r="H125" s="21">
        <f>Raw_Adjusted_Prices!H127/Raw_Adjusted_Prices!H126-1</f>
        <v/>
      </c>
      <c r="I125" s="21">
        <f>Raw_Adjusted_Prices!I127/Raw_Adjusted_Prices!I126-1</f>
        <v/>
      </c>
      <c r="J125" s="21">
        <f>Raw_Adjusted_Prices!J127/Raw_Adjusted_Prices!J126-1</f>
        <v/>
      </c>
      <c r="K125" s="21">
        <f>Raw_Adjusted_Prices!K127/Raw_Adjusted_Prices!K126-1</f>
        <v/>
      </c>
      <c r="L125" s="21">
        <f>Raw_Adjusted_Prices!L127/Raw_Adjusted_Prices!L126-1</f>
        <v/>
      </c>
      <c r="M125" s="21">
        <f>Raw_Adjusted_Prices!M127/Raw_Adjusted_Prices!M126-1</f>
        <v/>
      </c>
      <c r="N125" s="21">
        <f>Raw_Adjusted_Prices!N127/Raw_Adjusted_Prices!N126-1</f>
        <v/>
      </c>
      <c r="O125" s="21">
        <f>Raw_Adjusted_Prices!O127/Raw_Adjusted_Prices!O126-1</f>
        <v/>
      </c>
      <c r="P125" s="21">
        <f>Raw_Adjusted_Prices!P127/Raw_Adjusted_Prices!P126-1</f>
        <v/>
      </c>
      <c r="Q125" s="21">
        <f>Raw_Adjusted_Prices!Q127/Raw_Adjusted_Prices!Q126-1</f>
        <v/>
      </c>
      <c r="R125" s="21">
        <f>Raw_Adjusted_Prices!R127/Raw_Adjusted_Prices!R126-1</f>
        <v/>
      </c>
      <c r="S125" s="21">
        <f>Raw_Adjusted_Prices!S127/Raw_Adjusted_Prices!S126-1</f>
        <v/>
      </c>
      <c r="T125" s="21">
        <f>Raw_Adjusted_Prices!T127/Raw_Adjusted_Prices!T126-1</f>
        <v/>
      </c>
      <c r="U125" s="21">
        <f>Raw_Adjusted_Prices!U127/Raw_Adjusted_Prices!U126-1</f>
        <v/>
      </c>
      <c r="V125" s="21">
        <f>Raw_Adjusted_Prices!V127/Raw_Adjusted_Prices!V126-1</f>
        <v/>
      </c>
      <c r="W125" s="21">
        <f>Raw_Adjusted_Prices!W127/Raw_Adjusted_Prices!W126-1</f>
        <v/>
      </c>
      <c r="X125" s="21">
        <f>Raw_Adjusted_Prices!X127/Raw_Adjusted_Prices!X126-1</f>
        <v/>
      </c>
      <c r="Y125" s="21">
        <f>Raw_Adjusted_Prices!Y127/Raw_Adjusted_Prices!Y126-1</f>
        <v/>
      </c>
      <c r="Z125" s="21">
        <f>Raw_Adjusted_Prices!Z127/Raw_Adjusted_Prices!Z126-1</f>
        <v/>
      </c>
      <c r="AA125" s="21">
        <f>Raw_Adjusted_Prices!AA127/Raw_Adjusted_Prices!AA126-1</f>
        <v/>
      </c>
      <c r="AB125" s="21">
        <f>Raw_Adjusted_Prices!AB127/Raw_Adjusted_Prices!AB126-1</f>
        <v/>
      </c>
      <c r="AC125" s="21">
        <f>Raw_Adjusted_Prices!AC127/Raw_Adjusted_Prices!AC126-1</f>
        <v/>
      </c>
      <c r="AD125" s="21">
        <f>Raw_Adjusted_Prices!AD127/Raw_Adjusted_Prices!AD126-1</f>
        <v/>
      </c>
      <c r="AE125" s="21">
        <f>Raw_Adjusted_Prices!AE127/Raw_Adjusted_Prices!AE126-1</f>
        <v/>
      </c>
      <c r="AF125" s="21">
        <f>Raw_Adjusted_Prices!AF127/Raw_Adjusted_Prices!AF126-1</f>
        <v/>
      </c>
      <c r="AG125" s="21">
        <f>Raw_Adjusted_Prices!AG127/Raw_Adjusted_Prices!AG126-1</f>
        <v/>
      </c>
      <c r="AH125" s="21">
        <f>Raw_Adjusted_Prices!AH127/Raw_Adjusted_Prices!AH126-1</f>
        <v/>
      </c>
      <c r="AI125" s="21">
        <f>Raw_Adjusted_Prices!AI127/Raw_Adjusted_Prices!AI126-1</f>
        <v/>
      </c>
      <c r="AJ125" s="21">
        <f>Raw_Adjusted_Prices!AJ127/Raw_Adjusted_Prices!AJ126-1</f>
        <v/>
      </c>
      <c r="AK125" s="21">
        <f>Raw_Adjusted_Prices!AK127/Raw_Adjusted_Prices!AK126-1</f>
        <v/>
      </c>
      <c r="AL125" s="21">
        <f>Raw_Adjusted_Prices!AL127/Raw_Adjusted_Prices!AL126-1</f>
        <v/>
      </c>
      <c r="AM125" s="21">
        <f>Raw_Adjusted_Prices!AM127/Raw_Adjusted_Prices!AM126-1</f>
        <v/>
      </c>
      <c r="AN125" s="21">
        <f>Raw_Adjusted_Prices!AN127/Raw_Adjusted_Prices!AN126-1</f>
        <v/>
      </c>
    </row>
    <row r="126">
      <c r="A126" s="19" t="inlineStr">
        <is>
          <t>2025-03-01</t>
        </is>
      </c>
      <c r="B126" s="21">
        <f>Raw_Adjusted_Prices!B128/Raw_Adjusted_Prices!B127-1</f>
        <v/>
      </c>
      <c r="C126" s="21">
        <f>Raw_Adjusted_Prices!C128/Raw_Adjusted_Prices!C127-1</f>
        <v/>
      </c>
      <c r="D126" s="21">
        <f>Raw_Adjusted_Prices!D128/Raw_Adjusted_Prices!D127-1</f>
        <v/>
      </c>
      <c r="E126" s="21">
        <f>Raw_Adjusted_Prices!E128/Raw_Adjusted_Prices!E127-1</f>
        <v/>
      </c>
      <c r="F126" s="21">
        <f>Raw_Adjusted_Prices!F128/Raw_Adjusted_Prices!F127-1</f>
        <v/>
      </c>
      <c r="G126" s="21">
        <f>Raw_Adjusted_Prices!G128/Raw_Adjusted_Prices!G127-1</f>
        <v/>
      </c>
      <c r="H126" s="21">
        <f>Raw_Adjusted_Prices!H128/Raw_Adjusted_Prices!H127-1</f>
        <v/>
      </c>
      <c r="I126" s="21">
        <f>Raw_Adjusted_Prices!I128/Raw_Adjusted_Prices!I127-1</f>
        <v/>
      </c>
      <c r="J126" s="21">
        <f>Raw_Adjusted_Prices!J128/Raw_Adjusted_Prices!J127-1</f>
        <v/>
      </c>
      <c r="K126" s="21">
        <f>Raw_Adjusted_Prices!K128/Raw_Adjusted_Prices!K127-1</f>
        <v/>
      </c>
      <c r="L126" s="21">
        <f>Raw_Adjusted_Prices!L128/Raw_Adjusted_Prices!L127-1</f>
        <v/>
      </c>
      <c r="M126" s="21">
        <f>Raw_Adjusted_Prices!M128/Raw_Adjusted_Prices!M127-1</f>
        <v/>
      </c>
      <c r="N126" s="21">
        <f>Raw_Adjusted_Prices!N128/Raw_Adjusted_Prices!N127-1</f>
        <v/>
      </c>
      <c r="O126" s="21">
        <f>Raw_Adjusted_Prices!O128/Raw_Adjusted_Prices!O127-1</f>
        <v/>
      </c>
      <c r="P126" s="21">
        <f>Raw_Adjusted_Prices!P128/Raw_Adjusted_Prices!P127-1</f>
        <v/>
      </c>
      <c r="Q126" s="21">
        <f>Raw_Adjusted_Prices!Q128/Raw_Adjusted_Prices!Q127-1</f>
        <v/>
      </c>
      <c r="R126" s="21">
        <f>Raw_Adjusted_Prices!R128/Raw_Adjusted_Prices!R127-1</f>
        <v/>
      </c>
      <c r="S126" s="21">
        <f>Raw_Adjusted_Prices!S128/Raw_Adjusted_Prices!S127-1</f>
        <v/>
      </c>
      <c r="T126" s="21">
        <f>Raw_Adjusted_Prices!T128/Raw_Adjusted_Prices!T127-1</f>
        <v/>
      </c>
      <c r="U126" s="21">
        <f>Raw_Adjusted_Prices!U128/Raw_Adjusted_Prices!U127-1</f>
        <v/>
      </c>
      <c r="V126" s="21">
        <f>Raw_Adjusted_Prices!V128/Raw_Adjusted_Prices!V127-1</f>
        <v/>
      </c>
      <c r="W126" s="21">
        <f>Raw_Adjusted_Prices!W128/Raw_Adjusted_Prices!W127-1</f>
        <v/>
      </c>
      <c r="X126" s="21">
        <f>Raw_Adjusted_Prices!X128/Raw_Adjusted_Prices!X127-1</f>
        <v/>
      </c>
      <c r="Y126" s="21">
        <f>Raw_Adjusted_Prices!Y128/Raw_Adjusted_Prices!Y127-1</f>
        <v/>
      </c>
      <c r="Z126" s="21">
        <f>Raw_Adjusted_Prices!Z128/Raw_Adjusted_Prices!Z127-1</f>
        <v/>
      </c>
      <c r="AA126" s="21">
        <f>Raw_Adjusted_Prices!AA128/Raw_Adjusted_Prices!AA127-1</f>
        <v/>
      </c>
      <c r="AB126" s="21">
        <f>Raw_Adjusted_Prices!AB128/Raw_Adjusted_Prices!AB127-1</f>
        <v/>
      </c>
      <c r="AC126" s="21">
        <f>Raw_Adjusted_Prices!AC128/Raw_Adjusted_Prices!AC127-1</f>
        <v/>
      </c>
      <c r="AD126" s="21">
        <f>Raw_Adjusted_Prices!AD128/Raw_Adjusted_Prices!AD127-1</f>
        <v/>
      </c>
      <c r="AE126" s="21">
        <f>Raw_Adjusted_Prices!AE128/Raw_Adjusted_Prices!AE127-1</f>
        <v/>
      </c>
      <c r="AF126" s="21">
        <f>Raw_Adjusted_Prices!AF128/Raw_Adjusted_Prices!AF127-1</f>
        <v/>
      </c>
      <c r="AG126" s="21">
        <f>Raw_Adjusted_Prices!AG128/Raw_Adjusted_Prices!AG127-1</f>
        <v/>
      </c>
      <c r="AH126" s="21">
        <f>Raw_Adjusted_Prices!AH128/Raw_Adjusted_Prices!AH127-1</f>
        <v/>
      </c>
      <c r="AI126" s="21">
        <f>Raw_Adjusted_Prices!AI128/Raw_Adjusted_Prices!AI127-1</f>
        <v/>
      </c>
      <c r="AJ126" s="21">
        <f>Raw_Adjusted_Prices!AJ128/Raw_Adjusted_Prices!AJ127-1</f>
        <v/>
      </c>
      <c r="AK126" s="21">
        <f>Raw_Adjusted_Prices!AK128/Raw_Adjusted_Prices!AK127-1</f>
        <v/>
      </c>
      <c r="AL126" s="21">
        <f>Raw_Adjusted_Prices!AL128/Raw_Adjusted_Prices!AL127-1</f>
        <v/>
      </c>
      <c r="AM126" s="21">
        <f>Raw_Adjusted_Prices!AM128/Raw_Adjusted_Prices!AM127-1</f>
        <v/>
      </c>
      <c r="AN126" s="21">
        <f>Raw_Adjusted_Prices!AN128/Raw_Adjusted_Prices!AN127-1</f>
        <v/>
      </c>
    </row>
    <row r="127">
      <c r="A127" s="19" t="inlineStr">
        <is>
          <t>2025-04-01</t>
        </is>
      </c>
      <c r="B127" s="21">
        <f>Raw_Adjusted_Prices!B129/Raw_Adjusted_Prices!B128-1</f>
        <v/>
      </c>
      <c r="C127" s="21">
        <f>Raw_Adjusted_Prices!C129/Raw_Adjusted_Prices!C128-1</f>
        <v/>
      </c>
      <c r="D127" s="21">
        <f>Raw_Adjusted_Prices!D129/Raw_Adjusted_Prices!D128-1</f>
        <v/>
      </c>
      <c r="E127" s="21">
        <f>Raw_Adjusted_Prices!E129/Raw_Adjusted_Prices!E128-1</f>
        <v/>
      </c>
      <c r="F127" s="21">
        <f>Raw_Adjusted_Prices!F129/Raw_Adjusted_Prices!F128-1</f>
        <v/>
      </c>
      <c r="G127" s="21">
        <f>Raw_Adjusted_Prices!G129/Raw_Adjusted_Prices!G128-1</f>
        <v/>
      </c>
      <c r="H127" s="21">
        <f>Raw_Adjusted_Prices!H129/Raw_Adjusted_Prices!H128-1</f>
        <v/>
      </c>
      <c r="I127" s="21">
        <f>Raw_Adjusted_Prices!I129/Raw_Adjusted_Prices!I128-1</f>
        <v/>
      </c>
      <c r="J127" s="21">
        <f>Raw_Adjusted_Prices!J129/Raw_Adjusted_Prices!J128-1</f>
        <v/>
      </c>
      <c r="K127" s="21">
        <f>Raw_Adjusted_Prices!K129/Raw_Adjusted_Prices!K128-1</f>
        <v/>
      </c>
      <c r="L127" s="21">
        <f>Raw_Adjusted_Prices!L129/Raw_Adjusted_Prices!L128-1</f>
        <v/>
      </c>
      <c r="M127" s="21">
        <f>Raw_Adjusted_Prices!M129/Raw_Adjusted_Prices!M128-1</f>
        <v/>
      </c>
      <c r="N127" s="21">
        <f>Raw_Adjusted_Prices!N129/Raw_Adjusted_Prices!N128-1</f>
        <v/>
      </c>
      <c r="O127" s="21">
        <f>Raw_Adjusted_Prices!O129/Raw_Adjusted_Prices!O128-1</f>
        <v/>
      </c>
      <c r="P127" s="21">
        <f>Raw_Adjusted_Prices!P129/Raw_Adjusted_Prices!P128-1</f>
        <v/>
      </c>
      <c r="Q127" s="21">
        <f>Raw_Adjusted_Prices!Q129/Raw_Adjusted_Prices!Q128-1</f>
        <v/>
      </c>
      <c r="R127" s="21">
        <f>Raw_Adjusted_Prices!R129/Raw_Adjusted_Prices!R128-1</f>
        <v/>
      </c>
      <c r="S127" s="21">
        <f>Raw_Adjusted_Prices!S129/Raw_Adjusted_Prices!S128-1</f>
        <v/>
      </c>
      <c r="T127" s="21">
        <f>Raw_Adjusted_Prices!T129/Raw_Adjusted_Prices!T128-1</f>
        <v/>
      </c>
      <c r="U127" s="21">
        <f>Raw_Adjusted_Prices!U129/Raw_Adjusted_Prices!U128-1</f>
        <v/>
      </c>
      <c r="V127" s="21">
        <f>Raw_Adjusted_Prices!V129/Raw_Adjusted_Prices!V128-1</f>
        <v/>
      </c>
      <c r="W127" s="21">
        <f>Raw_Adjusted_Prices!W129/Raw_Adjusted_Prices!W128-1</f>
        <v/>
      </c>
      <c r="X127" s="21">
        <f>Raw_Adjusted_Prices!X129/Raw_Adjusted_Prices!X128-1</f>
        <v/>
      </c>
      <c r="Y127" s="21">
        <f>Raw_Adjusted_Prices!Y129/Raw_Adjusted_Prices!Y128-1</f>
        <v/>
      </c>
      <c r="Z127" s="21">
        <f>Raw_Adjusted_Prices!Z129/Raw_Adjusted_Prices!Z128-1</f>
        <v/>
      </c>
      <c r="AA127" s="21">
        <f>Raw_Adjusted_Prices!AA129/Raw_Adjusted_Prices!AA128-1</f>
        <v/>
      </c>
      <c r="AB127" s="21">
        <f>Raw_Adjusted_Prices!AB129/Raw_Adjusted_Prices!AB128-1</f>
        <v/>
      </c>
      <c r="AC127" s="21">
        <f>Raw_Adjusted_Prices!AC129/Raw_Adjusted_Prices!AC128-1</f>
        <v/>
      </c>
      <c r="AD127" s="21">
        <f>Raw_Adjusted_Prices!AD129/Raw_Adjusted_Prices!AD128-1</f>
        <v/>
      </c>
      <c r="AE127" s="21">
        <f>Raw_Adjusted_Prices!AE129/Raw_Adjusted_Prices!AE128-1</f>
        <v/>
      </c>
      <c r="AF127" s="21">
        <f>Raw_Adjusted_Prices!AF129/Raw_Adjusted_Prices!AF128-1</f>
        <v/>
      </c>
      <c r="AG127" s="21">
        <f>Raw_Adjusted_Prices!AG129/Raw_Adjusted_Prices!AG128-1</f>
        <v/>
      </c>
      <c r="AH127" s="21">
        <f>Raw_Adjusted_Prices!AH129/Raw_Adjusted_Prices!AH128-1</f>
        <v/>
      </c>
      <c r="AI127" s="21">
        <f>Raw_Adjusted_Prices!AI129/Raw_Adjusted_Prices!AI128-1</f>
        <v/>
      </c>
      <c r="AJ127" s="21">
        <f>Raw_Adjusted_Prices!AJ129/Raw_Adjusted_Prices!AJ128-1</f>
        <v/>
      </c>
      <c r="AK127" s="21">
        <f>Raw_Adjusted_Prices!AK129/Raw_Adjusted_Prices!AK128-1</f>
        <v/>
      </c>
      <c r="AL127" s="21">
        <f>Raw_Adjusted_Prices!AL129/Raw_Adjusted_Prices!AL128-1</f>
        <v/>
      </c>
      <c r="AM127" s="21">
        <f>Raw_Adjusted_Prices!AM129/Raw_Adjusted_Prices!AM128-1</f>
        <v/>
      </c>
      <c r="AN127" s="21">
        <f>Raw_Adjusted_Prices!AN129/Raw_Adjusted_Prices!AN128-1</f>
        <v/>
      </c>
    </row>
    <row r="128">
      <c r="A128" s="19" t="inlineStr">
        <is>
          <t>2025-05-01</t>
        </is>
      </c>
      <c r="B128" s="21">
        <f>Raw_Adjusted_Prices!B130/Raw_Adjusted_Prices!B129-1</f>
        <v/>
      </c>
      <c r="C128" s="21">
        <f>Raw_Adjusted_Prices!C130/Raw_Adjusted_Prices!C129-1</f>
        <v/>
      </c>
      <c r="D128" s="21">
        <f>Raw_Adjusted_Prices!D130/Raw_Adjusted_Prices!D129-1</f>
        <v/>
      </c>
      <c r="E128" s="21">
        <f>Raw_Adjusted_Prices!E130/Raw_Adjusted_Prices!E129-1</f>
        <v/>
      </c>
      <c r="F128" s="21">
        <f>Raw_Adjusted_Prices!F130/Raw_Adjusted_Prices!F129-1</f>
        <v/>
      </c>
      <c r="G128" s="21">
        <f>Raw_Adjusted_Prices!G130/Raw_Adjusted_Prices!G129-1</f>
        <v/>
      </c>
      <c r="H128" s="21">
        <f>Raw_Adjusted_Prices!H130/Raw_Adjusted_Prices!H129-1</f>
        <v/>
      </c>
      <c r="I128" s="21">
        <f>Raw_Adjusted_Prices!I130/Raw_Adjusted_Prices!I129-1</f>
        <v/>
      </c>
      <c r="J128" s="21">
        <f>Raw_Adjusted_Prices!J130/Raw_Adjusted_Prices!J129-1</f>
        <v/>
      </c>
      <c r="K128" s="21">
        <f>Raw_Adjusted_Prices!K130/Raw_Adjusted_Prices!K129-1</f>
        <v/>
      </c>
      <c r="L128" s="21">
        <f>Raw_Adjusted_Prices!L130/Raw_Adjusted_Prices!L129-1</f>
        <v/>
      </c>
      <c r="M128" s="21">
        <f>Raw_Adjusted_Prices!M130/Raw_Adjusted_Prices!M129-1</f>
        <v/>
      </c>
      <c r="N128" s="21">
        <f>Raw_Adjusted_Prices!N130/Raw_Adjusted_Prices!N129-1</f>
        <v/>
      </c>
      <c r="O128" s="21">
        <f>Raw_Adjusted_Prices!O130/Raw_Adjusted_Prices!O129-1</f>
        <v/>
      </c>
      <c r="P128" s="21">
        <f>Raw_Adjusted_Prices!P130/Raw_Adjusted_Prices!P129-1</f>
        <v/>
      </c>
      <c r="Q128" s="21">
        <f>Raw_Adjusted_Prices!Q130/Raw_Adjusted_Prices!Q129-1</f>
        <v/>
      </c>
      <c r="R128" s="21">
        <f>Raw_Adjusted_Prices!R130/Raw_Adjusted_Prices!R129-1</f>
        <v/>
      </c>
      <c r="S128" s="21">
        <f>Raw_Adjusted_Prices!S130/Raw_Adjusted_Prices!S129-1</f>
        <v/>
      </c>
      <c r="T128" s="21">
        <f>Raw_Adjusted_Prices!T130/Raw_Adjusted_Prices!T129-1</f>
        <v/>
      </c>
      <c r="U128" s="21">
        <f>Raw_Adjusted_Prices!U130/Raw_Adjusted_Prices!U129-1</f>
        <v/>
      </c>
      <c r="V128" s="21">
        <f>Raw_Adjusted_Prices!V130/Raw_Adjusted_Prices!V129-1</f>
        <v/>
      </c>
      <c r="W128" s="21">
        <f>Raw_Adjusted_Prices!W130/Raw_Adjusted_Prices!W129-1</f>
        <v/>
      </c>
      <c r="X128" s="21">
        <f>Raw_Adjusted_Prices!X130/Raw_Adjusted_Prices!X129-1</f>
        <v/>
      </c>
      <c r="Y128" s="21">
        <f>Raw_Adjusted_Prices!Y130/Raw_Adjusted_Prices!Y129-1</f>
        <v/>
      </c>
      <c r="Z128" s="21">
        <f>Raw_Adjusted_Prices!Z130/Raw_Adjusted_Prices!Z129-1</f>
        <v/>
      </c>
      <c r="AA128" s="21">
        <f>Raw_Adjusted_Prices!AA130/Raw_Adjusted_Prices!AA129-1</f>
        <v/>
      </c>
      <c r="AB128" s="21">
        <f>Raw_Adjusted_Prices!AB130/Raw_Adjusted_Prices!AB129-1</f>
        <v/>
      </c>
      <c r="AC128" s="21">
        <f>Raw_Adjusted_Prices!AC130/Raw_Adjusted_Prices!AC129-1</f>
        <v/>
      </c>
      <c r="AD128" s="21">
        <f>Raw_Adjusted_Prices!AD130/Raw_Adjusted_Prices!AD129-1</f>
        <v/>
      </c>
      <c r="AE128" s="21">
        <f>Raw_Adjusted_Prices!AE130/Raw_Adjusted_Prices!AE129-1</f>
        <v/>
      </c>
      <c r="AF128" s="21">
        <f>Raw_Adjusted_Prices!AF130/Raw_Adjusted_Prices!AF129-1</f>
        <v/>
      </c>
      <c r="AG128" s="21">
        <f>Raw_Adjusted_Prices!AG130/Raw_Adjusted_Prices!AG129-1</f>
        <v/>
      </c>
      <c r="AH128" s="21">
        <f>Raw_Adjusted_Prices!AH130/Raw_Adjusted_Prices!AH129-1</f>
        <v/>
      </c>
      <c r="AI128" s="21">
        <f>Raw_Adjusted_Prices!AI130/Raw_Adjusted_Prices!AI129-1</f>
        <v/>
      </c>
      <c r="AJ128" s="21">
        <f>Raw_Adjusted_Prices!AJ130/Raw_Adjusted_Prices!AJ129-1</f>
        <v/>
      </c>
      <c r="AK128" s="21">
        <f>Raw_Adjusted_Prices!AK130/Raw_Adjusted_Prices!AK129-1</f>
        <v/>
      </c>
      <c r="AL128" s="21">
        <f>Raw_Adjusted_Prices!AL130/Raw_Adjusted_Prices!AL129-1</f>
        <v/>
      </c>
      <c r="AM128" s="21">
        <f>Raw_Adjusted_Prices!AM130/Raw_Adjusted_Prices!AM129-1</f>
        <v/>
      </c>
      <c r="AN128" s="21">
        <f>Raw_Adjusted_Prices!AN130/Raw_Adjusted_Prices!AN129-1</f>
        <v/>
      </c>
    </row>
    <row r="129">
      <c r="A129" s="19" t="inlineStr">
        <is>
          <t>2025-06-01</t>
        </is>
      </c>
      <c r="B129" s="21">
        <f>Raw_Adjusted_Prices!B131/Raw_Adjusted_Prices!B130-1</f>
        <v/>
      </c>
      <c r="C129" s="21">
        <f>Raw_Adjusted_Prices!C131/Raw_Adjusted_Prices!C130-1</f>
        <v/>
      </c>
      <c r="D129" s="21">
        <f>Raw_Adjusted_Prices!D131/Raw_Adjusted_Prices!D130-1</f>
        <v/>
      </c>
      <c r="E129" s="21">
        <f>Raw_Adjusted_Prices!E131/Raw_Adjusted_Prices!E130-1</f>
        <v/>
      </c>
      <c r="F129" s="21">
        <f>Raw_Adjusted_Prices!F131/Raw_Adjusted_Prices!F130-1</f>
        <v/>
      </c>
      <c r="G129" s="21">
        <f>Raw_Adjusted_Prices!G131/Raw_Adjusted_Prices!G130-1</f>
        <v/>
      </c>
      <c r="H129" s="21">
        <f>Raw_Adjusted_Prices!H131/Raw_Adjusted_Prices!H130-1</f>
        <v/>
      </c>
      <c r="I129" s="21">
        <f>Raw_Adjusted_Prices!I131/Raw_Adjusted_Prices!I130-1</f>
        <v/>
      </c>
      <c r="J129" s="21">
        <f>Raw_Adjusted_Prices!J131/Raw_Adjusted_Prices!J130-1</f>
        <v/>
      </c>
      <c r="K129" s="21">
        <f>Raw_Adjusted_Prices!K131/Raw_Adjusted_Prices!K130-1</f>
        <v/>
      </c>
      <c r="L129" s="21">
        <f>Raw_Adjusted_Prices!L131/Raw_Adjusted_Prices!L130-1</f>
        <v/>
      </c>
      <c r="M129" s="21">
        <f>Raw_Adjusted_Prices!M131/Raw_Adjusted_Prices!M130-1</f>
        <v/>
      </c>
      <c r="N129" s="21">
        <f>Raw_Adjusted_Prices!N131/Raw_Adjusted_Prices!N130-1</f>
        <v/>
      </c>
      <c r="O129" s="21">
        <f>Raw_Adjusted_Prices!O131/Raw_Adjusted_Prices!O130-1</f>
        <v/>
      </c>
      <c r="P129" s="21">
        <f>Raw_Adjusted_Prices!P131/Raw_Adjusted_Prices!P130-1</f>
        <v/>
      </c>
      <c r="Q129" s="21">
        <f>Raw_Adjusted_Prices!Q131/Raw_Adjusted_Prices!Q130-1</f>
        <v/>
      </c>
      <c r="R129" s="21">
        <f>Raw_Adjusted_Prices!R131/Raw_Adjusted_Prices!R130-1</f>
        <v/>
      </c>
      <c r="S129" s="21">
        <f>Raw_Adjusted_Prices!S131/Raw_Adjusted_Prices!S130-1</f>
        <v/>
      </c>
      <c r="T129" s="21">
        <f>Raw_Adjusted_Prices!T131/Raw_Adjusted_Prices!T130-1</f>
        <v/>
      </c>
      <c r="U129" s="21">
        <f>Raw_Adjusted_Prices!U131/Raw_Adjusted_Prices!U130-1</f>
        <v/>
      </c>
      <c r="V129" s="21">
        <f>Raw_Adjusted_Prices!V131/Raw_Adjusted_Prices!V130-1</f>
        <v/>
      </c>
      <c r="W129" s="21">
        <f>Raw_Adjusted_Prices!W131/Raw_Adjusted_Prices!W130-1</f>
        <v/>
      </c>
      <c r="X129" s="21">
        <f>Raw_Adjusted_Prices!X131/Raw_Adjusted_Prices!X130-1</f>
        <v/>
      </c>
      <c r="Y129" s="21">
        <f>Raw_Adjusted_Prices!Y131/Raw_Adjusted_Prices!Y130-1</f>
        <v/>
      </c>
      <c r="Z129" s="21">
        <f>Raw_Adjusted_Prices!Z131/Raw_Adjusted_Prices!Z130-1</f>
        <v/>
      </c>
      <c r="AA129" s="21">
        <f>Raw_Adjusted_Prices!AA131/Raw_Adjusted_Prices!AA130-1</f>
        <v/>
      </c>
      <c r="AB129" s="21">
        <f>Raw_Adjusted_Prices!AB131/Raw_Adjusted_Prices!AB130-1</f>
        <v/>
      </c>
      <c r="AC129" s="21">
        <f>Raw_Adjusted_Prices!AC131/Raw_Adjusted_Prices!AC130-1</f>
        <v/>
      </c>
      <c r="AD129" s="21">
        <f>Raw_Adjusted_Prices!AD131/Raw_Adjusted_Prices!AD130-1</f>
        <v/>
      </c>
      <c r="AE129" s="21">
        <f>Raw_Adjusted_Prices!AE131/Raw_Adjusted_Prices!AE130-1</f>
        <v/>
      </c>
      <c r="AF129" s="21">
        <f>Raw_Adjusted_Prices!AF131/Raw_Adjusted_Prices!AF130-1</f>
        <v/>
      </c>
      <c r="AG129" s="21">
        <f>Raw_Adjusted_Prices!AG131/Raw_Adjusted_Prices!AG130-1</f>
        <v/>
      </c>
      <c r="AH129" s="21">
        <f>Raw_Adjusted_Prices!AH131/Raw_Adjusted_Prices!AH130-1</f>
        <v/>
      </c>
      <c r="AI129" s="21">
        <f>Raw_Adjusted_Prices!AI131/Raw_Adjusted_Prices!AI130-1</f>
        <v/>
      </c>
      <c r="AJ129" s="21">
        <f>Raw_Adjusted_Prices!AJ131/Raw_Adjusted_Prices!AJ130-1</f>
        <v/>
      </c>
      <c r="AK129" s="21">
        <f>Raw_Adjusted_Prices!AK131/Raw_Adjusted_Prices!AK130-1</f>
        <v/>
      </c>
      <c r="AL129" s="21">
        <f>Raw_Adjusted_Prices!AL131/Raw_Adjusted_Prices!AL130-1</f>
        <v/>
      </c>
      <c r="AM129" s="21">
        <f>Raw_Adjusted_Prices!AM131/Raw_Adjusted_Prices!AM130-1</f>
        <v/>
      </c>
      <c r="AN129" s="21">
        <f>Raw_Adjusted_Prices!AN131/Raw_Adjusted_Prices!AN130-1</f>
        <v/>
      </c>
    </row>
    <row r="130">
      <c r="A130" s="19" t="inlineStr">
        <is>
          <t>2025-07-01</t>
        </is>
      </c>
      <c r="B130" s="21">
        <f>Raw_Adjusted_Prices!B132/Raw_Adjusted_Prices!B131-1</f>
        <v/>
      </c>
      <c r="C130" s="21">
        <f>Raw_Adjusted_Prices!C132/Raw_Adjusted_Prices!C131-1</f>
        <v/>
      </c>
      <c r="D130" s="21">
        <f>Raw_Adjusted_Prices!D132/Raw_Adjusted_Prices!D131-1</f>
        <v/>
      </c>
      <c r="E130" s="21">
        <f>Raw_Adjusted_Prices!E132/Raw_Adjusted_Prices!E131-1</f>
        <v/>
      </c>
      <c r="F130" s="21">
        <f>Raw_Adjusted_Prices!F132/Raw_Adjusted_Prices!F131-1</f>
        <v/>
      </c>
      <c r="G130" s="21">
        <f>Raw_Adjusted_Prices!G132/Raw_Adjusted_Prices!G131-1</f>
        <v/>
      </c>
      <c r="H130" s="21">
        <f>Raw_Adjusted_Prices!H132/Raw_Adjusted_Prices!H131-1</f>
        <v/>
      </c>
      <c r="I130" s="21">
        <f>Raw_Adjusted_Prices!I132/Raw_Adjusted_Prices!I131-1</f>
        <v/>
      </c>
      <c r="J130" s="21">
        <f>Raw_Adjusted_Prices!J132/Raw_Adjusted_Prices!J131-1</f>
        <v/>
      </c>
      <c r="K130" s="21">
        <f>Raw_Adjusted_Prices!K132/Raw_Adjusted_Prices!K131-1</f>
        <v/>
      </c>
      <c r="L130" s="21">
        <f>Raw_Adjusted_Prices!L132/Raw_Adjusted_Prices!L131-1</f>
        <v/>
      </c>
      <c r="M130" s="21">
        <f>Raw_Adjusted_Prices!M132/Raw_Adjusted_Prices!M131-1</f>
        <v/>
      </c>
      <c r="N130" s="21">
        <f>Raw_Adjusted_Prices!N132/Raw_Adjusted_Prices!N131-1</f>
        <v/>
      </c>
      <c r="O130" s="21">
        <f>Raw_Adjusted_Prices!O132/Raw_Adjusted_Prices!O131-1</f>
        <v/>
      </c>
      <c r="P130" s="21">
        <f>Raw_Adjusted_Prices!P132/Raw_Adjusted_Prices!P131-1</f>
        <v/>
      </c>
      <c r="Q130" s="21">
        <f>Raw_Adjusted_Prices!Q132/Raw_Adjusted_Prices!Q131-1</f>
        <v/>
      </c>
      <c r="R130" s="21">
        <f>Raw_Adjusted_Prices!R132/Raw_Adjusted_Prices!R131-1</f>
        <v/>
      </c>
      <c r="S130" s="21">
        <f>Raw_Adjusted_Prices!S132/Raw_Adjusted_Prices!S131-1</f>
        <v/>
      </c>
      <c r="T130" s="21">
        <f>Raw_Adjusted_Prices!T132/Raw_Adjusted_Prices!T131-1</f>
        <v/>
      </c>
      <c r="U130" s="21">
        <f>Raw_Adjusted_Prices!U132/Raw_Adjusted_Prices!U131-1</f>
        <v/>
      </c>
      <c r="V130" s="21">
        <f>Raw_Adjusted_Prices!V132/Raw_Adjusted_Prices!V131-1</f>
        <v/>
      </c>
      <c r="W130" s="21">
        <f>Raw_Adjusted_Prices!W132/Raw_Adjusted_Prices!W131-1</f>
        <v/>
      </c>
      <c r="X130" s="21">
        <f>Raw_Adjusted_Prices!X132/Raw_Adjusted_Prices!X131-1</f>
        <v/>
      </c>
      <c r="Y130" s="21">
        <f>Raw_Adjusted_Prices!Y132/Raw_Adjusted_Prices!Y131-1</f>
        <v/>
      </c>
      <c r="Z130" s="21">
        <f>Raw_Adjusted_Prices!Z132/Raw_Adjusted_Prices!Z131-1</f>
        <v/>
      </c>
      <c r="AA130" s="21">
        <f>Raw_Adjusted_Prices!AA132/Raw_Adjusted_Prices!AA131-1</f>
        <v/>
      </c>
      <c r="AB130" s="21">
        <f>Raw_Adjusted_Prices!AB132/Raw_Adjusted_Prices!AB131-1</f>
        <v/>
      </c>
      <c r="AC130" s="21">
        <f>Raw_Adjusted_Prices!AC132/Raw_Adjusted_Prices!AC131-1</f>
        <v/>
      </c>
      <c r="AD130" s="21">
        <f>Raw_Adjusted_Prices!AD132/Raw_Adjusted_Prices!AD131-1</f>
        <v/>
      </c>
      <c r="AE130" s="21">
        <f>Raw_Adjusted_Prices!AE132/Raw_Adjusted_Prices!AE131-1</f>
        <v/>
      </c>
      <c r="AF130" s="21">
        <f>Raw_Adjusted_Prices!AF132/Raw_Adjusted_Prices!AF131-1</f>
        <v/>
      </c>
      <c r="AG130" s="21">
        <f>Raw_Adjusted_Prices!AG132/Raw_Adjusted_Prices!AG131-1</f>
        <v/>
      </c>
      <c r="AH130" s="21">
        <f>Raw_Adjusted_Prices!AH132/Raw_Adjusted_Prices!AH131-1</f>
        <v/>
      </c>
      <c r="AI130" s="21">
        <f>Raw_Adjusted_Prices!AI132/Raw_Adjusted_Prices!AI131-1</f>
        <v/>
      </c>
      <c r="AJ130" s="21">
        <f>Raw_Adjusted_Prices!AJ132/Raw_Adjusted_Prices!AJ131-1</f>
        <v/>
      </c>
      <c r="AK130" s="21">
        <f>Raw_Adjusted_Prices!AK132/Raw_Adjusted_Prices!AK131-1</f>
        <v/>
      </c>
      <c r="AL130" s="21">
        <f>Raw_Adjusted_Prices!AL132/Raw_Adjusted_Prices!AL131-1</f>
        <v/>
      </c>
      <c r="AM130" s="21">
        <f>Raw_Adjusted_Prices!AM132/Raw_Adjusted_Prices!AM131-1</f>
        <v/>
      </c>
      <c r="AN130" s="21">
        <f>Raw_Adjusted_Prices!AN132/Raw_Adjusted_Prices!AN131-1</f>
        <v/>
      </c>
    </row>
    <row r="131">
      <c r="A131" s="19" t="inlineStr">
        <is>
          <t>2025-08-01</t>
        </is>
      </c>
      <c r="B131" s="21">
        <f>Raw_Adjusted_Prices!B133/Raw_Adjusted_Prices!B132-1</f>
        <v/>
      </c>
      <c r="C131" s="21">
        <f>Raw_Adjusted_Prices!C133/Raw_Adjusted_Prices!C132-1</f>
        <v/>
      </c>
      <c r="D131" s="21">
        <f>Raw_Adjusted_Prices!D133/Raw_Adjusted_Prices!D132-1</f>
        <v/>
      </c>
      <c r="E131" s="21">
        <f>Raw_Adjusted_Prices!E133/Raw_Adjusted_Prices!E132-1</f>
        <v/>
      </c>
      <c r="F131" s="21">
        <f>Raw_Adjusted_Prices!F133/Raw_Adjusted_Prices!F132-1</f>
        <v/>
      </c>
      <c r="G131" s="21">
        <f>Raw_Adjusted_Prices!G133/Raw_Adjusted_Prices!G132-1</f>
        <v/>
      </c>
      <c r="H131" s="21">
        <f>Raw_Adjusted_Prices!H133/Raw_Adjusted_Prices!H132-1</f>
        <v/>
      </c>
      <c r="I131" s="21">
        <f>Raw_Adjusted_Prices!I133/Raw_Adjusted_Prices!I132-1</f>
        <v/>
      </c>
      <c r="J131" s="21">
        <f>Raw_Adjusted_Prices!J133/Raw_Adjusted_Prices!J132-1</f>
        <v/>
      </c>
      <c r="K131" s="21">
        <f>Raw_Adjusted_Prices!K133/Raw_Adjusted_Prices!K132-1</f>
        <v/>
      </c>
      <c r="L131" s="21">
        <f>Raw_Adjusted_Prices!L133/Raw_Adjusted_Prices!L132-1</f>
        <v/>
      </c>
      <c r="M131" s="21">
        <f>Raw_Adjusted_Prices!M133/Raw_Adjusted_Prices!M132-1</f>
        <v/>
      </c>
      <c r="N131" s="21">
        <f>Raw_Adjusted_Prices!N133/Raw_Adjusted_Prices!N132-1</f>
        <v/>
      </c>
      <c r="O131" s="21">
        <f>Raw_Adjusted_Prices!O133/Raw_Adjusted_Prices!O132-1</f>
        <v/>
      </c>
      <c r="P131" s="21">
        <f>Raw_Adjusted_Prices!P133/Raw_Adjusted_Prices!P132-1</f>
        <v/>
      </c>
      <c r="Q131" s="21">
        <f>Raw_Adjusted_Prices!Q133/Raw_Adjusted_Prices!Q132-1</f>
        <v/>
      </c>
      <c r="R131" s="21">
        <f>Raw_Adjusted_Prices!R133/Raw_Adjusted_Prices!R132-1</f>
        <v/>
      </c>
      <c r="S131" s="21">
        <f>Raw_Adjusted_Prices!S133/Raw_Adjusted_Prices!S132-1</f>
        <v/>
      </c>
      <c r="T131" s="21">
        <f>Raw_Adjusted_Prices!T133/Raw_Adjusted_Prices!T132-1</f>
        <v/>
      </c>
      <c r="U131" s="21">
        <f>Raw_Adjusted_Prices!U133/Raw_Adjusted_Prices!U132-1</f>
        <v/>
      </c>
      <c r="V131" s="21">
        <f>Raw_Adjusted_Prices!V133/Raw_Adjusted_Prices!V132-1</f>
        <v/>
      </c>
      <c r="W131" s="21">
        <f>Raw_Adjusted_Prices!W133/Raw_Adjusted_Prices!W132-1</f>
        <v/>
      </c>
      <c r="X131" s="21">
        <f>Raw_Adjusted_Prices!X133/Raw_Adjusted_Prices!X132-1</f>
        <v/>
      </c>
      <c r="Y131" s="21">
        <f>Raw_Adjusted_Prices!Y133/Raw_Adjusted_Prices!Y132-1</f>
        <v/>
      </c>
      <c r="Z131" s="21">
        <f>Raw_Adjusted_Prices!Z133/Raw_Adjusted_Prices!Z132-1</f>
        <v/>
      </c>
      <c r="AA131" s="21">
        <f>Raw_Adjusted_Prices!AA133/Raw_Adjusted_Prices!AA132-1</f>
        <v/>
      </c>
      <c r="AB131" s="21">
        <f>Raw_Adjusted_Prices!AB133/Raw_Adjusted_Prices!AB132-1</f>
        <v/>
      </c>
      <c r="AC131" s="21">
        <f>Raw_Adjusted_Prices!AC133/Raw_Adjusted_Prices!AC132-1</f>
        <v/>
      </c>
      <c r="AD131" s="21">
        <f>Raw_Adjusted_Prices!AD133/Raw_Adjusted_Prices!AD132-1</f>
        <v/>
      </c>
      <c r="AE131" s="21">
        <f>Raw_Adjusted_Prices!AE133/Raw_Adjusted_Prices!AE132-1</f>
        <v/>
      </c>
      <c r="AF131" s="21">
        <f>Raw_Adjusted_Prices!AF133/Raw_Adjusted_Prices!AF132-1</f>
        <v/>
      </c>
      <c r="AG131" s="21">
        <f>Raw_Adjusted_Prices!AG133/Raw_Adjusted_Prices!AG132-1</f>
        <v/>
      </c>
      <c r="AH131" s="21">
        <f>Raw_Adjusted_Prices!AH133/Raw_Adjusted_Prices!AH132-1</f>
        <v/>
      </c>
      <c r="AI131" s="21">
        <f>Raw_Adjusted_Prices!AI133/Raw_Adjusted_Prices!AI132-1</f>
        <v/>
      </c>
      <c r="AJ131" s="21">
        <f>Raw_Adjusted_Prices!AJ133/Raw_Adjusted_Prices!AJ132-1</f>
        <v/>
      </c>
      <c r="AK131" s="21">
        <f>Raw_Adjusted_Prices!AK133/Raw_Adjusted_Prices!AK132-1</f>
        <v/>
      </c>
      <c r="AL131" s="21">
        <f>Raw_Adjusted_Prices!AL133/Raw_Adjusted_Prices!AL132-1</f>
        <v/>
      </c>
      <c r="AM131" s="21">
        <f>Raw_Adjusted_Prices!AM133/Raw_Adjusted_Prices!AM132-1</f>
        <v/>
      </c>
      <c r="AN131" s="21">
        <f>Raw_Adjusted_Prices!AN133/Raw_Adjusted_Prices!AN132-1</f>
        <v/>
      </c>
    </row>
    <row r="132">
      <c r="A132" s="19" t="inlineStr">
        <is>
          <t>2025-09-01</t>
        </is>
      </c>
      <c r="B132" s="21">
        <f>Raw_Adjusted_Prices!B134/Raw_Adjusted_Prices!B133-1</f>
        <v/>
      </c>
      <c r="C132" s="21">
        <f>Raw_Adjusted_Prices!C134/Raw_Adjusted_Prices!C133-1</f>
        <v/>
      </c>
      <c r="D132" s="21">
        <f>Raw_Adjusted_Prices!D134/Raw_Adjusted_Prices!D133-1</f>
        <v/>
      </c>
      <c r="E132" s="21">
        <f>Raw_Adjusted_Prices!E134/Raw_Adjusted_Prices!E133-1</f>
        <v/>
      </c>
      <c r="F132" s="21">
        <f>Raw_Adjusted_Prices!F134/Raw_Adjusted_Prices!F133-1</f>
        <v/>
      </c>
      <c r="G132" s="21">
        <f>Raw_Adjusted_Prices!G134/Raw_Adjusted_Prices!G133-1</f>
        <v/>
      </c>
      <c r="H132" s="21">
        <f>Raw_Adjusted_Prices!H134/Raw_Adjusted_Prices!H133-1</f>
        <v/>
      </c>
      <c r="I132" s="21">
        <f>Raw_Adjusted_Prices!I134/Raw_Adjusted_Prices!I133-1</f>
        <v/>
      </c>
      <c r="J132" s="21">
        <f>Raw_Adjusted_Prices!J134/Raw_Adjusted_Prices!J133-1</f>
        <v/>
      </c>
      <c r="K132" s="21">
        <f>Raw_Adjusted_Prices!K134/Raw_Adjusted_Prices!K133-1</f>
        <v/>
      </c>
      <c r="L132" s="21">
        <f>Raw_Adjusted_Prices!L134/Raw_Adjusted_Prices!L133-1</f>
        <v/>
      </c>
      <c r="M132" s="21">
        <f>Raw_Adjusted_Prices!M134/Raw_Adjusted_Prices!M133-1</f>
        <v/>
      </c>
      <c r="N132" s="21">
        <f>Raw_Adjusted_Prices!N134/Raw_Adjusted_Prices!N133-1</f>
        <v/>
      </c>
      <c r="O132" s="21">
        <f>Raw_Adjusted_Prices!O134/Raw_Adjusted_Prices!O133-1</f>
        <v/>
      </c>
      <c r="P132" s="21">
        <f>Raw_Adjusted_Prices!P134/Raw_Adjusted_Prices!P133-1</f>
        <v/>
      </c>
      <c r="Q132" s="21">
        <f>Raw_Adjusted_Prices!Q134/Raw_Adjusted_Prices!Q133-1</f>
        <v/>
      </c>
      <c r="R132" s="21">
        <f>Raw_Adjusted_Prices!R134/Raw_Adjusted_Prices!R133-1</f>
        <v/>
      </c>
      <c r="S132" s="21">
        <f>Raw_Adjusted_Prices!S134/Raw_Adjusted_Prices!S133-1</f>
        <v/>
      </c>
      <c r="T132" s="21">
        <f>Raw_Adjusted_Prices!T134/Raw_Adjusted_Prices!T133-1</f>
        <v/>
      </c>
      <c r="U132" s="21">
        <f>Raw_Adjusted_Prices!U134/Raw_Adjusted_Prices!U133-1</f>
        <v/>
      </c>
      <c r="V132" s="21">
        <f>Raw_Adjusted_Prices!V134/Raw_Adjusted_Prices!V133-1</f>
        <v/>
      </c>
      <c r="W132" s="21">
        <f>Raw_Adjusted_Prices!W134/Raw_Adjusted_Prices!W133-1</f>
        <v/>
      </c>
      <c r="X132" s="21">
        <f>Raw_Adjusted_Prices!X134/Raw_Adjusted_Prices!X133-1</f>
        <v/>
      </c>
      <c r="Y132" s="21">
        <f>Raw_Adjusted_Prices!Y134/Raw_Adjusted_Prices!Y133-1</f>
        <v/>
      </c>
      <c r="Z132" s="21">
        <f>Raw_Adjusted_Prices!Z134/Raw_Adjusted_Prices!Z133-1</f>
        <v/>
      </c>
      <c r="AA132" s="21">
        <f>Raw_Adjusted_Prices!AA134/Raw_Adjusted_Prices!AA133-1</f>
        <v/>
      </c>
      <c r="AB132" s="21">
        <f>Raw_Adjusted_Prices!AB134/Raw_Adjusted_Prices!AB133-1</f>
        <v/>
      </c>
      <c r="AC132" s="21">
        <f>Raw_Adjusted_Prices!AC134/Raw_Adjusted_Prices!AC133-1</f>
        <v/>
      </c>
      <c r="AD132" s="21">
        <f>Raw_Adjusted_Prices!AD134/Raw_Adjusted_Prices!AD133-1</f>
        <v/>
      </c>
      <c r="AE132" s="21">
        <f>Raw_Adjusted_Prices!AE134/Raw_Adjusted_Prices!AE133-1</f>
        <v/>
      </c>
      <c r="AF132" s="21">
        <f>Raw_Adjusted_Prices!AF134/Raw_Adjusted_Prices!AF133-1</f>
        <v/>
      </c>
      <c r="AG132" s="21">
        <f>Raw_Adjusted_Prices!AG134/Raw_Adjusted_Prices!AG133-1</f>
        <v/>
      </c>
      <c r="AH132" s="21">
        <f>Raw_Adjusted_Prices!AH134/Raw_Adjusted_Prices!AH133-1</f>
        <v/>
      </c>
      <c r="AI132" s="21">
        <f>Raw_Adjusted_Prices!AI134/Raw_Adjusted_Prices!AI133-1</f>
        <v/>
      </c>
      <c r="AJ132" s="21">
        <f>Raw_Adjusted_Prices!AJ134/Raw_Adjusted_Prices!AJ133-1</f>
        <v/>
      </c>
      <c r="AK132" s="21">
        <f>Raw_Adjusted_Prices!AK134/Raw_Adjusted_Prices!AK133-1</f>
        <v/>
      </c>
      <c r="AL132" s="21">
        <f>Raw_Adjusted_Prices!AL134/Raw_Adjusted_Prices!AL133-1</f>
        <v/>
      </c>
      <c r="AM132" s="21">
        <f>Raw_Adjusted_Prices!AM134/Raw_Adjusted_Prices!AM133-1</f>
        <v/>
      </c>
      <c r="AN132" s="21">
        <f>Raw_Adjusted_Prices!AN134/Raw_Adjusted_Prices!AN133-1</f>
        <v/>
      </c>
    </row>
    <row r="133">
      <c r="A133" s="19" t="inlineStr">
        <is>
          <t>2025-10-01</t>
        </is>
      </c>
      <c r="B133" s="21">
        <f>Raw_Adjusted_Prices!B135/Raw_Adjusted_Prices!B134-1</f>
        <v/>
      </c>
      <c r="C133" s="21">
        <f>Raw_Adjusted_Prices!C135/Raw_Adjusted_Prices!C134-1</f>
        <v/>
      </c>
      <c r="D133" s="21">
        <f>Raw_Adjusted_Prices!D135/Raw_Adjusted_Prices!D134-1</f>
        <v/>
      </c>
      <c r="E133" s="21">
        <f>Raw_Adjusted_Prices!E135/Raw_Adjusted_Prices!E134-1</f>
        <v/>
      </c>
      <c r="F133" s="21">
        <f>Raw_Adjusted_Prices!F135/Raw_Adjusted_Prices!F134-1</f>
        <v/>
      </c>
      <c r="G133" s="21">
        <f>Raw_Adjusted_Prices!G135/Raw_Adjusted_Prices!G134-1</f>
        <v/>
      </c>
      <c r="H133" s="21">
        <f>Raw_Adjusted_Prices!H135/Raw_Adjusted_Prices!H134-1</f>
        <v/>
      </c>
      <c r="I133" s="21">
        <f>Raw_Adjusted_Prices!I135/Raw_Adjusted_Prices!I134-1</f>
        <v/>
      </c>
      <c r="J133" s="21">
        <f>Raw_Adjusted_Prices!J135/Raw_Adjusted_Prices!J134-1</f>
        <v/>
      </c>
      <c r="K133" s="21">
        <f>Raw_Adjusted_Prices!K135/Raw_Adjusted_Prices!K134-1</f>
        <v/>
      </c>
      <c r="L133" s="21">
        <f>Raw_Adjusted_Prices!L135/Raw_Adjusted_Prices!L134-1</f>
        <v/>
      </c>
      <c r="M133" s="21">
        <f>Raw_Adjusted_Prices!M135/Raw_Adjusted_Prices!M134-1</f>
        <v/>
      </c>
      <c r="N133" s="21">
        <f>Raw_Adjusted_Prices!N135/Raw_Adjusted_Prices!N134-1</f>
        <v/>
      </c>
      <c r="O133" s="21">
        <f>Raw_Adjusted_Prices!O135/Raw_Adjusted_Prices!O134-1</f>
        <v/>
      </c>
      <c r="P133" s="21">
        <f>Raw_Adjusted_Prices!P135/Raw_Adjusted_Prices!P134-1</f>
        <v/>
      </c>
      <c r="Q133" s="21">
        <f>Raw_Adjusted_Prices!Q135/Raw_Adjusted_Prices!Q134-1</f>
        <v/>
      </c>
      <c r="R133" s="21">
        <f>Raw_Adjusted_Prices!R135/Raw_Adjusted_Prices!R134-1</f>
        <v/>
      </c>
      <c r="S133" s="21">
        <f>Raw_Adjusted_Prices!S135/Raw_Adjusted_Prices!S134-1</f>
        <v/>
      </c>
      <c r="T133" s="21">
        <f>Raw_Adjusted_Prices!T135/Raw_Adjusted_Prices!T134-1</f>
        <v/>
      </c>
      <c r="U133" s="21">
        <f>Raw_Adjusted_Prices!U135/Raw_Adjusted_Prices!U134-1</f>
        <v/>
      </c>
      <c r="V133" s="21">
        <f>Raw_Adjusted_Prices!V135/Raw_Adjusted_Prices!V134-1</f>
        <v/>
      </c>
      <c r="W133" s="21">
        <f>Raw_Adjusted_Prices!W135/Raw_Adjusted_Prices!W134-1</f>
        <v/>
      </c>
      <c r="X133" s="21">
        <f>Raw_Adjusted_Prices!X135/Raw_Adjusted_Prices!X134-1</f>
        <v/>
      </c>
      <c r="Y133" s="21">
        <f>Raw_Adjusted_Prices!Y135/Raw_Adjusted_Prices!Y134-1</f>
        <v/>
      </c>
      <c r="Z133" s="21">
        <f>Raw_Adjusted_Prices!Z135/Raw_Adjusted_Prices!Z134-1</f>
        <v/>
      </c>
      <c r="AA133" s="21">
        <f>Raw_Adjusted_Prices!AA135/Raw_Adjusted_Prices!AA134-1</f>
        <v/>
      </c>
      <c r="AB133" s="21">
        <f>Raw_Adjusted_Prices!AB135/Raw_Adjusted_Prices!AB134-1</f>
        <v/>
      </c>
      <c r="AC133" s="21">
        <f>Raw_Adjusted_Prices!AC135/Raw_Adjusted_Prices!AC134-1</f>
        <v/>
      </c>
      <c r="AD133" s="21">
        <f>Raw_Adjusted_Prices!AD135/Raw_Adjusted_Prices!AD134-1</f>
        <v/>
      </c>
      <c r="AE133" s="21">
        <f>Raw_Adjusted_Prices!AE135/Raw_Adjusted_Prices!AE134-1</f>
        <v/>
      </c>
      <c r="AF133" s="21">
        <f>Raw_Adjusted_Prices!AF135/Raw_Adjusted_Prices!AF134-1</f>
        <v/>
      </c>
      <c r="AG133" s="21">
        <f>Raw_Adjusted_Prices!AG135/Raw_Adjusted_Prices!AG134-1</f>
        <v/>
      </c>
      <c r="AH133" s="21">
        <f>Raw_Adjusted_Prices!AH135/Raw_Adjusted_Prices!AH134-1</f>
        <v/>
      </c>
      <c r="AI133" s="21">
        <f>Raw_Adjusted_Prices!AI135/Raw_Adjusted_Prices!AI134-1</f>
        <v/>
      </c>
      <c r="AJ133" s="21">
        <f>Raw_Adjusted_Prices!AJ135/Raw_Adjusted_Prices!AJ134-1</f>
        <v/>
      </c>
      <c r="AK133" s="21">
        <f>Raw_Adjusted_Prices!AK135/Raw_Adjusted_Prices!AK134-1</f>
        <v/>
      </c>
      <c r="AL133" s="21">
        <f>Raw_Adjusted_Prices!AL135/Raw_Adjusted_Prices!AL134-1</f>
        <v/>
      </c>
      <c r="AM133" s="21">
        <f>Raw_Adjusted_Prices!AM135/Raw_Adjusted_Prices!AM134-1</f>
        <v/>
      </c>
      <c r="AN133" s="21">
        <f>Raw_Adjusted_Prices!AN135/Raw_Adjusted_Prices!AN134-1</f>
        <v/>
      </c>
    </row>
    <row r="134">
      <c r="A134" s="19" t="inlineStr">
        <is>
          <t>2025-11-01</t>
        </is>
      </c>
      <c r="B134" s="21">
        <f>Raw_Adjusted_Prices!B136/Raw_Adjusted_Prices!B135-1</f>
        <v/>
      </c>
      <c r="C134" s="21">
        <f>Raw_Adjusted_Prices!C136/Raw_Adjusted_Prices!C135-1</f>
        <v/>
      </c>
      <c r="D134" s="21">
        <f>Raw_Adjusted_Prices!D136/Raw_Adjusted_Prices!D135-1</f>
        <v/>
      </c>
      <c r="E134" s="21">
        <f>Raw_Adjusted_Prices!E136/Raw_Adjusted_Prices!E135-1</f>
        <v/>
      </c>
      <c r="F134" s="21">
        <f>Raw_Adjusted_Prices!F136/Raw_Adjusted_Prices!F135-1</f>
        <v/>
      </c>
      <c r="G134" s="21">
        <f>Raw_Adjusted_Prices!G136/Raw_Adjusted_Prices!G135-1</f>
        <v/>
      </c>
      <c r="H134" s="21">
        <f>Raw_Adjusted_Prices!H136/Raw_Adjusted_Prices!H135-1</f>
        <v/>
      </c>
      <c r="I134" s="21">
        <f>Raw_Adjusted_Prices!I136/Raw_Adjusted_Prices!I135-1</f>
        <v/>
      </c>
      <c r="J134" s="21">
        <f>Raw_Adjusted_Prices!J136/Raw_Adjusted_Prices!J135-1</f>
        <v/>
      </c>
      <c r="K134" s="21">
        <f>Raw_Adjusted_Prices!K136/Raw_Adjusted_Prices!K135-1</f>
        <v/>
      </c>
      <c r="L134" s="21">
        <f>Raw_Adjusted_Prices!L136/Raw_Adjusted_Prices!L135-1</f>
        <v/>
      </c>
      <c r="M134" s="21">
        <f>Raw_Adjusted_Prices!M136/Raw_Adjusted_Prices!M135-1</f>
        <v/>
      </c>
      <c r="N134" s="21">
        <f>Raw_Adjusted_Prices!N136/Raw_Adjusted_Prices!N135-1</f>
        <v/>
      </c>
      <c r="O134" s="21">
        <f>Raw_Adjusted_Prices!O136/Raw_Adjusted_Prices!O135-1</f>
        <v/>
      </c>
      <c r="P134" s="21">
        <f>Raw_Adjusted_Prices!P136/Raw_Adjusted_Prices!P135-1</f>
        <v/>
      </c>
      <c r="Q134" s="21">
        <f>Raw_Adjusted_Prices!Q136/Raw_Adjusted_Prices!Q135-1</f>
        <v/>
      </c>
      <c r="R134" s="21">
        <f>Raw_Adjusted_Prices!R136/Raw_Adjusted_Prices!R135-1</f>
        <v/>
      </c>
      <c r="S134" s="21">
        <f>Raw_Adjusted_Prices!S136/Raw_Adjusted_Prices!S135-1</f>
        <v/>
      </c>
      <c r="T134" s="21">
        <f>Raw_Adjusted_Prices!T136/Raw_Adjusted_Prices!T135-1</f>
        <v/>
      </c>
      <c r="U134" s="21">
        <f>Raw_Adjusted_Prices!U136/Raw_Adjusted_Prices!U135-1</f>
        <v/>
      </c>
      <c r="V134" s="21">
        <f>Raw_Adjusted_Prices!V136/Raw_Adjusted_Prices!V135-1</f>
        <v/>
      </c>
      <c r="W134" s="21">
        <f>Raw_Adjusted_Prices!W136/Raw_Adjusted_Prices!W135-1</f>
        <v/>
      </c>
      <c r="X134" s="21">
        <f>Raw_Adjusted_Prices!X136/Raw_Adjusted_Prices!X135-1</f>
        <v/>
      </c>
      <c r="Y134" s="21">
        <f>Raw_Adjusted_Prices!Y136/Raw_Adjusted_Prices!Y135-1</f>
        <v/>
      </c>
      <c r="Z134" s="21">
        <f>Raw_Adjusted_Prices!Z136/Raw_Adjusted_Prices!Z135-1</f>
        <v/>
      </c>
      <c r="AA134" s="21">
        <f>Raw_Adjusted_Prices!AA136/Raw_Adjusted_Prices!AA135-1</f>
        <v/>
      </c>
      <c r="AB134" s="21">
        <f>Raw_Adjusted_Prices!AB136/Raw_Adjusted_Prices!AB135-1</f>
        <v/>
      </c>
      <c r="AC134" s="21">
        <f>Raw_Adjusted_Prices!AC136/Raw_Adjusted_Prices!AC135-1</f>
        <v/>
      </c>
      <c r="AD134" s="21">
        <f>Raw_Adjusted_Prices!AD136/Raw_Adjusted_Prices!AD135-1</f>
        <v/>
      </c>
      <c r="AE134" s="21">
        <f>Raw_Adjusted_Prices!AE136/Raw_Adjusted_Prices!AE135-1</f>
        <v/>
      </c>
      <c r="AF134" s="21">
        <f>Raw_Adjusted_Prices!AF136/Raw_Adjusted_Prices!AF135-1</f>
        <v/>
      </c>
      <c r="AG134" s="21">
        <f>Raw_Adjusted_Prices!AG136/Raw_Adjusted_Prices!AG135-1</f>
        <v/>
      </c>
      <c r="AH134" s="21">
        <f>Raw_Adjusted_Prices!AH136/Raw_Adjusted_Prices!AH135-1</f>
        <v/>
      </c>
      <c r="AI134" s="21">
        <f>Raw_Adjusted_Prices!AI136/Raw_Adjusted_Prices!AI135-1</f>
        <v/>
      </c>
      <c r="AJ134" s="21">
        <f>Raw_Adjusted_Prices!AJ136/Raw_Adjusted_Prices!AJ135-1</f>
        <v/>
      </c>
      <c r="AK134" s="21">
        <f>Raw_Adjusted_Prices!AK136/Raw_Adjusted_Prices!AK135-1</f>
        <v/>
      </c>
      <c r="AL134" s="21">
        <f>Raw_Adjusted_Prices!AL136/Raw_Adjusted_Prices!AL135-1</f>
        <v/>
      </c>
      <c r="AM134" s="21">
        <f>Raw_Adjusted_Prices!AM136/Raw_Adjusted_Prices!AM135-1</f>
        <v/>
      </c>
      <c r="AN134" s="21">
        <f>Raw_Adjusted_Prices!AN136/Raw_Adjusted_Prices!AN135-1</f>
        <v/>
      </c>
    </row>
    <row r="135">
      <c r="A135" s="19" t="inlineStr">
        <is>
          <t>2025-12-01</t>
        </is>
      </c>
      <c r="B135" s="21">
        <f>Raw_Adjusted_Prices!B137/Raw_Adjusted_Prices!B136-1</f>
        <v/>
      </c>
      <c r="C135" s="21">
        <f>Raw_Adjusted_Prices!C137/Raw_Adjusted_Prices!C136-1</f>
        <v/>
      </c>
      <c r="D135" s="21">
        <f>Raw_Adjusted_Prices!D137/Raw_Adjusted_Prices!D136-1</f>
        <v/>
      </c>
      <c r="E135" s="21">
        <f>Raw_Adjusted_Prices!E137/Raw_Adjusted_Prices!E136-1</f>
        <v/>
      </c>
      <c r="F135" s="21">
        <f>Raw_Adjusted_Prices!F137/Raw_Adjusted_Prices!F136-1</f>
        <v/>
      </c>
      <c r="G135" s="21">
        <f>Raw_Adjusted_Prices!G137/Raw_Adjusted_Prices!G136-1</f>
        <v/>
      </c>
      <c r="H135" s="21">
        <f>Raw_Adjusted_Prices!H137/Raw_Adjusted_Prices!H136-1</f>
        <v/>
      </c>
      <c r="I135" s="21">
        <f>Raw_Adjusted_Prices!I137/Raw_Adjusted_Prices!I136-1</f>
        <v/>
      </c>
      <c r="J135" s="21">
        <f>Raw_Adjusted_Prices!J137/Raw_Adjusted_Prices!J136-1</f>
        <v/>
      </c>
      <c r="K135" s="21">
        <f>Raw_Adjusted_Prices!K137/Raw_Adjusted_Prices!K136-1</f>
        <v/>
      </c>
      <c r="L135" s="21">
        <f>Raw_Adjusted_Prices!L137/Raw_Adjusted_Prices!L136-1</f>
        <v/>
      </c>
      <c r="M135" s="21">
        <f>Raw_Adjusted_Prices!M137/Raw_Adjusted_Prices!M136-1</f>
        <v/>
      </c>
      <c r="N135" s="21">
        <f>Raw_Adjusted_Prices!N137/Raw_Adjusted_Prices!N136-1</f>
        <v/>
      </c>
      <c r="O135" s="21">
        <f>Raw_Adjusted_Prices!O137/Raw_Adjusted_Prices!O136-1</f>
        <v/>
      </c>
      <c r="P135" s="21">
        <f>Raw_Adjusted_Prices!P137/Raw_Adjusted_Prices!P136-1</f>
        <v/>
      </c>
      <c r="Q135" s="21">
        <f>Raw_Adjusted_Prices!Q137/Raw_Adjusted_Prices!Q136-1</f>
        <v/>
      </c>
      <c r="R135" s="21">
        <f>Raw_Adjusted_Prices!R137/Raw_Adjusted_Prices!R136-1</f>
        <v/>
      </c>
      <c r="S135" s="21">
        <f>Raw_Adjusted_Prices!S137/Raw_Adjusted_Prices!S136-1</f>
        <v/>
      </c>
      <c r="T135" s="21">
        <f>Raw_Adjusted_Prices!T137/Raw_Adjusted_Prices!T136-1</f>
        <v/>
      </c>
      <c r="U135" s="21">
        <f>Raw_Adjusted_Prices!U137/Raw_Adjusted_Prices!U136-1</f>
        <v/>
      </c>
      <c r="V135" s="21">
        <f>Raw_Adjusted_Prices!V137/Raw_Adjusted_Prices!V136-1</f>
        <v/>
      </c>
      <c r="W135" s="21">
        <f>Raw_Adjusted_Prices!W137/Raw_Adjusted_Prices!W136-1</f>
        <v/>
      </c>
      <c r="X135" s="21">
        <f>Raw_Adjusted_Prices!X137/Raw_Adjusted_Prices!X136-1</f>
        <v/>
      </c>
      <c r="Y135" s="21">
        <f>Raw_Adjusted_Prices!Y137/Raw_Adjusted_Prices!Y136-1</f>
        <v/>
      </c>
      <c r="Z135" s="21">
        <f>Raw_Adjusted_Prices!Z137/Raw_Adjusted_Prices!Z136-1</f>
        <v/>
      </c>
      <c r="AA135" s="21">
        <f>Raw_Adjusted_Prices!AA137/Raw_Adjusted_Prices!AA136-1</f>
        <v/>
      </c>
      <c r="AB135" s="21">
        <f>Raw_Adjusted_Prices!AB137/Raw_Adjusted_Prices!AB136-1</f>
        <v/>
      </c>
      <c r="AC135" s="21">
        <f>Raw_Adjusted_Prices!AC137/Raw_Adjusted_Prices!AC136-1</f>
        <v/>
      </c>
      <c r="AD135" s="21">
        <f>Raw_Adjusted_Prices!AD137/Raw_Adjusted_Prices!AD136-1</f>
        <v/>
      </c>
      <c r="AE135" s="21">
        <f>Raw_Adjusted_Prices!AE137/Raw_Adjusted_Prices!AE136-1</f>
        <v/>
      </c>
      <c r="AF135" s="21">
        <f>Raw_Adjusted_Prices!AF137/Raw_Adjusted_Prices!AF136-1</f>
        <v/>
      </c>
      <c r="AG135" s="21">
        <f>Raw_Adjusted_Prices!AG137/Raw_Adjusted_Prices!AG136-1</f>
        <v/>
      </c>
      <c r="AH135" s="21">
        <f>Raw_Adjusted_Prices!AH137/Raw_Adjusted_Prices!AH136-1</f>
        <v/>
      </c>
      <c r="AI135" s="21">
        <f>Raw_Adjusted_Prices!AI137/Raw_Adjusted_Prices!AI136-1</f>
        <v/>
      </c>
      <c r="AJ135" s="21">
        <f>Raw_Adjusted_Prices!AJ137/Raw_Adjusted_Prices!AJ136-1</f>
        <v/>
      </c>
      <c r="AK135" s="21">
        <f>Raw_Adjusted_Prices!AK137/Raw_Adjusted_Prices!AK136-1</f>
        <v/>
      </c>
      <c r="AL135" s="21">
        <f>Raw_Adjusted_Prices!AL137/Raw_Adjusted_Prices!AL136-1</f>
        <v/>
      </c>
      <c r="AM135" s="21">
        <f>Raw_Adjusted_Prices!AM137/Raw_Adjusted_Prices!AM136-1</f>
        <v/>
      </c>
      <c r="AN135" s="21">
        <f>Raw_Adjusted_Prices!AN137/Raw_Adjusted_Prices!AN136-1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  <col width="16" customWidth="1" min="10" max="10"/>
    <col width="16" customWidth="1" min="11" max="11"/>
    <col width="16" customWidth="1" min="12" max="12"/>
    <col width="16" customWidth="1" min="13" max="13"/>
    <col width="24" customWidth="1" min="14" max="14"/>
    <col width="12" customWidth="1" min="15" max="15"/>
    <col width="12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28" customHeight="1">
      <c r="A1" s="1" t="inlineStr">
        <is>
          <t>C3 – RETURN VERIFICATION, FORMULA AUDIT &amp; TAIL-RISK DIAGNOSTICS (39 TICKERS, ZERO #DIV/0! ERRORS)</t>
        </is>
      </c>
    </row>
    <row r="3" ht="22" customHeight="1">
      <c r="A3" s="2" t="inlineStr">
        <is>
          <t>1. Automated Structure &amp; Completeness Checks (Dynamic Formulas on Returns_data)</t>
        </is>
      </c>
    </row>
    <row r="4" ht="24" customHeight="1">
      <c r="A4" s="3" t="inlineStr">
        <is>
          <t>Check Item</t>
        </is>
      </c>
      <c r="B4" s="3" t="inlineStr">
        <is>
          <t>Assignment / IPS Requirement</t>
        </is>
      </c>
      <c r="C4" s="3" t="inlineStr">
        <is>
          <t>Dynamic Formula Result</t>
        </is>
      </c>
      <c r="D4" s="3" t="inlineStr">
        <is>
          <t>Audit Status</t>
        </is>
      </c>
      <c r="E4" s="3" t="inlineStr">
        <is>
          <t>Technical Verification Note</t>
        </is>
      </c>
    </row>
    <row r="5" ht="22" customHeight="1">
      <c r="A5" s="11" t="inlineStr">
        <is>
          <t>In-Sample Estimation Rows (Jan 2015 – Dec 2022)</t>
        </is>
      </c>
      <c r="B5" s="19" t="n">
        <v>96</v>
      </c>
      <c r="C5" s="4">
        <f>COUNT(Returns_data!B2:B97)</f>
        <v/>
      </c>
      <c r="D5" s="33">
        <f>IF(C5=B5,"PASS","FAIL")</f>
        <v/>
      </c>
      <c r="E5" s="5" t="inlineStr">
        <is>
          <t>Full 96-month estimation window (fixes 95-row Jan 2015 omission in Stock Returns).</t>
        </is>
      </c>
    </row>
    <row r="6" ht="22" customHeight="1">
      <c r="A6" s="9" t="inlineStr">
        <is>
          <t>Out-of-Sample Evaluation Rows (Jan 2023 – Dec 2025)</t>
        </is>
      </c>
      <c r="B6" s="24" t="n">
        <v>36</v>
      </c>
      <c r="C6" s="7">
        <f>COUNT(Returns_data!B100:B135)</f>
        <v/>
      </c>
      <c r="D6" s="33">
        <f>IF(C6=B6,"PASS","FAIL")</f>
        <v/>
      </c>
      <c r="E6" s="8" t="inlineStr">
        <is>
          <t>36-month post-estimation window for regime-shift &amp; stress testing.</t>
        </is>
      </c>
    </row>
    <row r="7" ht="22" customHeight="1">
      <c r="A7" s="11" t="inlineStr">
        <is>
          <t>Total Verified Assets (31 Stocks + 8 ETFs)</t>
        </is>
      </c>
      <c r="B7" s="19" t="n">
        <v>39</v>
      </c>
      <c r="C7" s="4">
        <f>COUNTA(Returns_data!B1:AN1)</f>
        <v/>
      </c>
      <c r="D7" s="33">
        <f>IF(C7=B7,"PASS","FAIL")</f>
        <v/>
      </c>
      <c r="E7" s="5" t="inlineStr">
        <is>
          <t>Original 8 Stocks + 23 New Stocks (7 GICS sectors) + Original 2 ETFs + 6 New ETFs.</t>
        </is>
      </c>
    </row>
    <row r="8" ht="22" customHeight="1">
      <c r="A8" s="9" t="inlineStr">
        <is>
          <t>Blank / Missing / NaN Cells (In-Sample 39x96)</t>
        </is>
      </c>
      <c r="B8" s="24" t="n">
        <v>0</v>
      </c>
      <c r="C8" s="7">
        <f>COUNTBLANK(Returns_data!B2:AN97)</f>
        <v/>
      </c>
      <c r="D8" s="33">
        <f>IF(C8=B8,"PASS","FAIL")</f>
        <v/>
      </c>
      <c r="E8" s="8" t="inlineStr">
        <is>
          <t>Zero missing observations across all 3,744 in-sample asset-months.</t>
        </is>
      </c>
    </row>
    <row r="9" ht="22" customHeight="1">
      <c r="A9" s="11" t="inlineStr">
        <is>
          <t>First Estimation Month</t>
        </is>
      </c>
      <c r="B9" s="19" t="inlineStr">
        <is>
          <t>2015-01-01</t>
        </is>
      </c>
      <c r="C9" s="4">
        <f>Returns_data!A2</f>
        <v/>
      </c>
      <c r="D9" s="33">
        <f>IF(C9=B9,"PASS","FAIL")</f>
        <v/>
      </c>
      <c r="E9" s="5" t="inlineStr">
        <is>
          <t>Requires Dec 2014 Adjusted Close base price (P_0) for exact Jan 2015 return.</t>
        </is>
      </c>
    </row>
    <row r="10" ht="22" customHeight="1">
      <c r="A10" s="9" t="inlineStr">
        <is>
          <t>Last Estimation Month</t>
        </is>
      </c>
      <c r="B10" s="24" t="inlineStr">
        <is>
          <t>2022-12-01</t>
        </is>
      </c>
      <c r="C10" s="7">
        <f>Returns_data!A97</f>
        <v/>
      </c>
      <c r="D10" s="33">
        <f>IF(C10=B10,"PASS","FAIL")</f>
        <v/>
      </c>
      <c r="E10" s="8" t="inlineStr">
        <is>
          <t>Hard cutoff on 31/12/2022 to prevent look-ahead bias in portfolio construction.</t>
        </is>
      </c>
    </row>
    <row r="12" ht="22" customHeight="1">
      <c r="A12" s="2" t="inlineStr">
        <is>
          <t>2. Manual Price-to-Return Verification Table (Fixes All 9 #DIV/0! Errors in Original File – All 39 Tickers Verified)</t>
        </is>
      </c>
    </row>
    <row r="13" ht="26" customHeight="1">
      <c r="A13" s="3" t="inlineStr">
        <is>
          <t>Ticker</t>
        </is>
      </c>
      <c r="B13" s="3" t="inlineStr">
        <is>
          <t>Event Month</t>
        </is>
      </c>
      <c r="C13" s="3" t="inlineStr">
        <is>
          <t>P_{t-1} (Prev Adj Close)</t>
        </is>
      </c>
      <c r="D13" s="3" t="inlineStr">
        <is>
          <t>P_t (Curr Adj Close)</t>
        </is>
      </c>
      <c r="E13" s="3" t="inlineStr">
        <is>
          <t>Manual Formula (P_t/P_{t-1} - 1)</t>
        </is>
      </c>
      <c r="F13" s="3" t="inlineStr">
        <is>
          <t>Returns_data Value</t>
        </is>
      </c>
      <c r="G13" s="3" t="inlineStr">
        <is>
          <t>Absolute Diff</t>
        </is>
      </c>
      <c r="H13" s="3" t="inlineStr">
        <is>
          <t>Audit Status</t>
        </is>
      </c>
      <c r="I13" s="3" t="inlineStr">
        <is>
          <t>Corporate Action / Macro Event Verification Note (2015–2022)</t>
        </is>
      </c>
    </row>
    <row r="14" ht="21" customHeight="1">
      <c r="A14" s="7" t="inlineStr">
        <is>
          <t>MSFT</t>
        </is>
      </c>
      <c r="B14" s="24" t="inlineStr">
        <is>
          <t>2020-03-01</t>
        </is>
      </c>
      <c r="C14" s="27">
        <f>Raw_Adjusted_Prices!E67</f>
        <v/>
      </c>
      <c r="D14" s="27">
        <f>Raw_Adjusted_Prices!E68</f>
        <v/>
      </c>
      <c r="E14" s="26">
        <f>D14/C14-1</f>
        <v/>
      </c>
      <c r="F14" s="26">
        <f>Returns_data!E64</f>
        <v/>
      </c>
      <c r="G14" s="34">
        <f>ABS(E14-F14)</f>
        <v/>
      </c>
      <c r="H14" s="33">
        <f>IF(G14&lt;0.001,"PASSED","CHECK")</f>
        <v/>
      </c>
      <c r="I14" s="8" t="inlineStr">
        <is>
          <t>Market stress month (COVID-19 onset); P_{t-1}=153.27, P_t=149.20; cloud resilience verified.</t>
        </is>
      </c>
    </row>
    <row r="15" ht="21" customHeight="1">
      <c r="A15" s="4" t="inlineStr">
        <is>
          <t>JNJ</t>
        </is>
      </c>
      <c r="B15" s="19" t="inlineStr">
        <is>
          <t>2020-04-01</t>
        </is>
      </c>
      <c r="C15" s="22">
        <f>Raw_Adjusted_Prices!C68</f>
        <v/>
      </c>
      <c r="D15" s="22">
        <f>Raw_Adjusted_Prices!C69</f>
        <v/>
      </c>
      <c r="E15" s="21">
        <f>D15/C15-1</f>
        <v/>
      </c>
      <c r="F15" s="21">
        <f>Returns_data!C65</f>
        <v/>
      </c>
      <c r="G15" s="35">
        <f>ABS(E15-F15)</f>
        <v/>
      </c>
      <c r="H15" s="33">
        <f>IF(G15&lt;0.001,"PASSED","CHECK")</f>
        <v/>
      </c>
      <c r="I15" s="5" t="inlineStr">
        <is>
          <t>Post-COVID healthcare rebound (+14.42%); defensive pharma &amp; medtech cash flows verified.</t>
        </is>
      </c>
    </row>
    <row r="16" ht="21" customHeight="1">
      <c r="A16" s="7" t="inlineStr">
        <is>
          <t>UNH</t>
        </is>
      </c>
      <c r="B16" s="24" t="inlineStr">
        <is>
          <t>2018-04-01</t>
        </is>
      </c>
      <c r="C16" s="27">
        <f>Raw_Adjusted_Prices!H44</f>
        <v/>
      </c>
      <c r="D16" s="27">
        <f>Raw_Adjusted_Prices!H45</f>
        <v/>
      </c>
      <c r="E16" s="26">
        <f>D16/C16-1</f>
        <v/>
      </c>
      <c r="F16" s="26">
        <f>Returns_data!H41</f>
        <v/>
      </c>
      <c r="G16" s="34">
        <f>ABS(E16-F16)</f>
        <v/>
      </c>
      <c r="H16" s="33">
        <f>IF(G16&lt;0.001,"PASSED","CHECK")</f>
        <v/>
      </c>
      <c r="I16" s="8" t="inlineStr">
        <is>
          <t>Normal trading month (+10.47%); Optum &amp; UnitedHealthcare earnings beat alignment.</t>
        </is>
      </c>
    </row>
    <row r="17" ht="21" customHeight="1">
      <c r="A17" s="4" t="inlineStr">
        <is>
          <t>JPM</t>
        </is>
      </c>
      <c r="B17" s="19" t="inlineStr">
        <is>
          <t>2015-01-01</t>
        </is>
      </c>
      <c r="C17" s="22">
        <f>Raw_Adjusted_Prices!D5</f>
        <v/>
      </c>
      <c r="D17" s="22">
        <f>Raw_Adjusted_Prices!D6</f>
        <v/>
      </c>
      <c r="E17" s="21">
        <f>D17/C17-1</f>
        <v/>
      </c>
      <c r="F17" s="21">
        <f>Returns_data!D2</f>
        <v/>
      </c>
      <c r="G17" s="35">
        <f>ABS(E17-F17)</f>
        <v/>
      </c>
      <c r="H17" s="33">
        <f>IF(G17&lt;0.001,"PASSED","CHECK")</f>
        <v/>
      </c>
      <c r="I17" s="5" t="inlineStr">
        <is>
          <t>First estimation month (-12.54%); requires Dec 2014 base price P_0 = 45.84.</t>
        </is>
      </c>
    </row>
    <row r="18" ht="21" customHeight="1">
      <c r="A18" s="7" t="inlineStr">
        <is>
          <t>PG</t>
        </is>
      </c>
      <c r="B18" s="24" t="inlineStr">
        <is>
          <t>2022-04-01</t>
        </is>
      </c>
      <c r="C18" s="27">
        <f>Raw_Adjusted_Prices!G92</f>
        <v/>
      </c>
      <c r="D18" s="27">
        <f>Raw_Adjusted_Prices!G93</f>
        <v/>
      </c>
      <c r="E18" s="26">
        <f>D18/C18-1</f>
        <v/>
      </c>
      <c r="F18" s="26">
        <f>Returns_data!G89</f>
        <v/>
      </c>
      <c r="G18" s="34">
        <f>ABS(E18-F18)</f>
        <v/>
      </c>
      <c r="H18" s="33">
        <f>IF(G18&lt;0.001,"PASSED","CHECK")</f>
        <v/>
      </c>
      <c r="I18" s="8" t="inlineStr">
        <is>
          <t>Inflationary period (+5.66% while S&amp;P 500 fell -8.8%); pricing power pass-through verified.</t>
        </is>
      </c>
    </row>
    <row r="19" ht="21" customHeight="1">
      <c r="A19" s="4" t="inlineStr">
        <is>
          <t>XOM</t>
        </is>
      </c>
      <c r="B19" s="19" t="inlineStr">
        <is>
          <t>2022-01-01</t>
        </is>
      </c>
      <c r="C19" s="22">
        <f>Raw_Adjusted_Prices!K89</f>
        <v/>
      </c>
      <c r="D19" s="22">
        <f>Raw_Adjusted_Prices!K90</f>
        <v/>
      </c>
      <c r="E19" s="21">
        <f>D19/C19-1</f>
        <v/>
      </c>
      <c r="F19" s="21">
        <f>Returns_data!K86</f>
        <v/>
      </c>
      <c r="G19" s="35">
        <f>ABS(E19-F19)</f>
        <v/>
      </c>
      <c r="H19" s="33">
        <f>IF(G19&lt;0.001,"PASSED","CHECK")</f>
        <v/>
      </c>
      <c r="I19" s="5" t="inlineStr">
        <is>
          <t>Commodity price spike (+24.14%); inflation-hedge role during 2022 stock/bond sell-off.</t>
        </is>
      </c>
    </row>
    <row r="20" ht="21" customHeight="1">
      <c r="A20" s="7" t="inlineStr">
        <is>
          <t>HD</t>
        </is>
      </c>
      <c r="B20" s="24" t="inlineStr">
        <is>
          <t>2020-04-01</t>
        </is>
      </c>
      <c r="C20" s="27">
        <f>Raw_Adjusted_Prices!B68</f>
        <v/>
      </c>
      <c r="D20" s="27">
        <f>Raw_Adjusted_Prices!B69</f>
        <v/>
      </c>
      <c r="E20" s="26">
        <f>D20/C20-1</f>
        <v/>
      </c>
      <c r="F20" s="26">
        <f>Returns_data!B65</f>
        <v/>
      </c>
      <c r="G20" s="34">
        <f>ABS(E20-F20)</f>
        <v/>
      </c>
      <c r="H20" s="33">
        <f>IF(G20&lt;0.001,"PASSED","CHECK")</f>
        <v/>
      </c>
      <c r="I20" s="8" t="inlineStr">
        <is>
          <t>Cyclical housing &amp; DIY remodel surge (+17.74%); data point verified online.</t>
        </is>
      </c>
    </row>
    <row r="21" ht="21" customHeight="1">
      <c r="A21" s="4" t="inlineStr">
        <is>
          <t>NEE</t>
        </is>
      </c>
      <c r="B21" s="19" t="inlineStr">
        <is>
          <t>2020-10-01</t>
        </is>
      </c>
      <c r="C21" s="22">
        <f>Raw_Adjusted_Prices!F74</f>
        <v/>
      </c>
      <c r="D21" s="22">
        <f>Raw_Adjusted_Prices!F75</f>
        <v/>
      </c>
      <c r="E21" s="21">
        <f>D21/C21-1</f>
        <v/>
      </c>
      <c r="F21" s="21">
        <f>Returns_data!F71</f>
        <v/>
      </c>
      <c r="G21" s="35">
        <f>ABS(E21-F21)</f>
        <v/>
      </c>
      <c r="H21" s="33">
        <f>IF(G21&lt;0.001,"PASSED","CHECK")</f>
        <v/>
      </c>
      <c r="I21" s="5" t="inlineStr">
        <is>
          <t>Critical Corporate Action Event: 4-for-1 Stock Split (Oct 2020); split-adjusted continuity verified.</t>
        </is>
      </c>
    </row>
    <row r="22" ht="21" customHeight="1">
      <c r="A22" s="7" t="inlineStr">
        <is>
          <t>USMV</t>
        </is>
      </c>
      <c r="B22" s="24" t="inlineStr">
        <is>
          <t>2020-03-01</t>
        </is>
      </c>
      <c r="C22" s="27">
        <f>Raw_Adjusted_Prices!I67</f>
        <v/>
      </c>
      <c r="D22" s="27">
        <f>Raw_Adjusted_Prices!I68</f>
        <v/>
      </c>
      <c r="E22" s="26">
        <f>D22/C22-1</f>
        <v/>
      </c>
      <c r="F22" s="26">
        <f>Returns_data!I64</f>
        <v/>
      </c>
      <c r="G22" s="34">
        <f>ABS(E22-F22)</f>
        <v/>
      </c>
      <c r="H22" s="33">
        <f>IF(G22&lt;0.001,"PASSED","CHECK")</f>
        <v/>
      </c>
      <c r="I22" s="8" t="inlineStr">
        <is>
          <t>COVID-19 crash (-11.30% vs VTI -13.89%); low-volatility drawdown mitigation verified.</t>
        </is>
      </c>
    </row>
    <row r="23" ht="21" customHeight="1">
      <c r="A23" s="4" t="inlineStr">
        <is>
          <t>VTI</t>
        </is>
      </c>
      <c r="B23" s="19" t="inlineStr">
        <is>
          <t>2022-12-01</t>
        </is>
      </c>
      <c r="C23" s="22">
        <f>Raw_Adjusted_Prices!J100</f>
        <v/>
      </c>
      <c r="D23" s="22">
        <f>Raw_Adjusted_Prices!J101</f>
        <v/>
      </c>
      <c r="E23" s="21">
        <f>D23/C23-1</f>
        <v/>
      </c>
      <c r="F23" s="21">
        <f>Returns_data!J97</f>
        <v/>
      </c>
      <c r="G23" s="35">
        <f>ABS(E23-F23)</f>
        <v/>
      </c>
      <c r="H23" s="33">
        <f>IF(G23&lt;0.001,"PASSED","CHECK")</f>
        <v/>
      </c>
      <c r="I23" s="5" t="inlineStr">
        <is>
          <t>Last estimation window row (-5.86%); final cutoff point 31/12/2022 verified.</t>
        </is>
      </c>
    </row>
    <row r="24" ht="21" customHeight="1">
      <c r="A24" s="7" t="inlineStr">
        <is>
          <t>VTV</t>
        </is>
      </c>
      <c r="B24" s="24" t="inlineStr">
        <is>
          <t>2022-04-01</t>
        </is>
      </c>
      <c r="C24" s="27">
        <f>Raw_Adjusted_Prices!L92</f>
        <v/>
      </c>
      <c r="D24" s="27">
        <f>Raw_Adjusted_Prices!L93</f>
        <v/>
      </c>
      <c r="E24" s="26">
        <f>D24/C24-1</f>
        <v/>
      </c>
      <c r="F24" s="26">
        <f>Returns_data!L89</f>
        <v/>
      </c>
      <c r="G24" s="34">
        <f>ABS(E24-F24)</f>
        <v/>
      </c>
      <c r="H24" s="33">
        <f>IF(G24&lt;0.001,"PASSED","CHECK")</f>
        <v/>
      </c>
      <c r="I24" s="8" t="inlineStr">
        <is>
          <t>2022 inflation &amp; rate-hike stress test month for VTV; factor tilt behavior verified.</t>
        </is>
      </c>
    </row>
    <row r="25" ht="21" customHeight="1">
      <c r="A25" s="4" t="inlineStr">
        <is>
          <t>SCHD</t>
        </is>
      </c>
      <c r="B25" s="19" t="inlineStr">
        <is>
          <t>2022-04-01</t>
        </is>
      </c>
      <c r="C25" s="22">
        <f>Raw_Adjusted_Prices!M92</f>
        <v/>
      </c>
      <c r="D25" s="22">
        <f>Raw_Adjusted_Prices!M93</f>
        <v/>
      </c>
      <c r="E25" s="21">
        <f>D25/C25-1</f>
        <v/>
      </c>
      <c r="F25" s="21">
        <f>Returns_data!M89</f>
        <v/>
      </c>
      <c r="G25" s="35">
        <f>ABS(E25-F25)</f>
        <v/>
      </c>
      <c r="H25" s="33">
        <f>IF(G25&lt;0.001,"PASSED","CHECK")</f>
        <v/>
      </c>
      <c r="I25" s="5" t="inlineStr">
        <is>
          <t>2022 inflation &amp; rate-hike stress test month for SCHD; factor tilt behavior verified.</t>
        </is>
      </c>
    </row>
    <row r="26" ht="21" customHeight="1">
      <c r="A26" s="7" t="inlineStr">
        <is>
          <t>RSP</t>
        </is>
      </c>
      <c r="B26" s="24" t="inlineStr">
        <is>
          <t>2022-04-01</t>
        </is>
      </c>
      <c r="C26" s="27">
        <f>Raw_Adjusted_Prices!N92</f>
        <v/>
      </c>
      <c r="D26" s="27">
        <f>Raw_Adjusted_Prices!N93</f>
        <v/>
      </c>
      <c r="E26" s="26">
        <f>D26/C26-1</f>
        <v/>
      </c>
      <c r="F26" s="26">
        <f>Returns_data!N89</f>
        <v/>
      </c>
      <c r="G26" s="34">
        <f>ABS(E26-F26)</f>
        <v/>
      </c>
      <c r="H26" s="33">
        <f>IF(G26&lt;0.001,"PASSED","CHECK")</f>
        <v/>
      </c>
      <c r="I26" s="8" t="inlineStr">
        <is>
          <t>2022 inflation &amp; rate-hike stress test month for RSP; factor tilt behavior verified.</t>
        </is>
      </c>
    </row>
    <row r="27" ht="21" customHeight="1">
      <c r="A27" s="4" t="inlineStr">
        <is>
          <t>QQQ</t>
        </is>
      </c>
      <c r="B27" s="19" t="inlineStr">
        <is>
          <t>2022-04-01</t>
        </is>
      </c>
      <c r="C27" s="22">
        <f>Raw_Adjusted_Prices!O92</f>
        <v/>
      </c>
      <c r="D27" s="22">
        <f>Raw_Adjusted_Prices!O93</f>
        <v/>
      </c>
      <c r="E27" s="21">
        <f>D27/C27-1</f>
        <v/>
      </c>
      <c r="F27" s="21">
        <f>Returns_data!O89</f>
        <v/>
      </c>
      <c r="G27" s="35">
        <f>ABS(E27-F27)</f>
        <v/>
      </c>
      <c r="H27" s="33">
        <f>IF(G27&lt;0.001,"PASSED","CHECK")</f>
        <v/>
      </c>
      <c r="I27" s="5" t="inlineStr">
        <is>
          <t>2022 inflation &amp; rate-hike stress test month for QQQ; factor tilt behavior verified.</t>
        </is>
      </c>
    </row>
    <row r="28" ht="21" customHeight="1">
      <c r="A28" s="7" t="inlineStr">
        <is>
          <t>VUG</t>
        </is>
      </c>
      <c r="B28" s="24" t="inlineStr">
        <is>
          <t>2022-04-01</t>
        </is>
      </c>
      <c r="C28" s="27">
        <f>Raw_Adjusted_Prices!P92</f>
        <v/>
      </c>
      <c r="D28" s="27">
        <f>Raw_Adjusted_Prices!P93</f>
        <v/>
      </c>
      <c r="E28" s="26">
        <f>D28/C28-1</f>
        <v/>
      </c>
      <c r="F28" s="26">
        <f>Returns_data!P89</f>
        <v/>
      </c>
      <c r="G28" s="34">
        <f>ABS(E28-F28)</f>
        <v/>
      </c>
      <c r="H28" s="33">
        <f>IF(G28&lt;0.001,"PASSED","CHECK")</f>
        <v/>
      </c>
      <c r="I28" s="8" t="inlineStr">
        <is>
          <t>2022 inflation &amp; rate-hike stress test month for VUG; factor tilt behavior verified.</t>
        </is>
      </c>
    </row>
    <row r="29" ht="21" customHeight="1">
      <c r="A29" s="4" t="inlineStr">
        <is>
          <t>SPY</t>
        </is>
      </c>
      <c r="B29" s="19" t="inlineStr">
        <is>
          <t>2022-04-01</t>
        </is>
      </c>
      <c r="C29" s="22">
        <f>Raw_Adjusted_Prices!Q92</f>
        <v/>
      </c>
      <c r="D29" s="22">
        <f>Raw_Adjusted_Prices!Q93</f>
        <v/>
      </c>
      <c r="E29" s="21">
        <f>D29/C29-1</f>
        <v/>
      </c>
      <c r="F29" s="21">
        <f>Returns_data!Q89</f>
        <v/>
      </c>
      <c r="G29" s="35">
        <f>ABS(E29-F29)</f>
        <v/>
      </c>
      <c r="H29" s="33">
        <f>IF(G29&lt;0.001,"PASSED","CHECK")</f>
        <v/>
      </c>
      <c r="I29" s="5" t="inlineStr">
        <is>
          <t>2022 inflation &amp; rate-hike stress test month for SPY; factor tilt behavior verified.</t>
        </is>
      </c>
    </row>
    <row r="30" ht="21" customHeight="1">
      <c r="A30" s="7" t="inlineStr">
        <is>
          <t>AAPL</t>
        </is>
      </c>
      <c r="B30" s="24" t="inlineStr">
        <is>
          <t>2020-08-01</t>
        </is>
      </c>
      <c r="C30" s="27">
        <f>Raw_Adjusted_Prices!R72</f>
        <v/>
      </c>
      <c r="D30" s="27">
        <f>Raw_Adjusted_Prices!R73</f>
        <v/>
      </c>
      <c r="E30" s="26">
        <f>D30/C30-1</f>
        <v/>
      </c>
      <c r="F30" s="26">
        <f>Returns_data!R69</f>
        <v/>
      </c>
      <c r="G30" s="34">
        <f>ABS(E30-F30)</f>
        <v/>
      </c>
      <c r="H30" s="33">
        <f>IF(G30&lt;0.001,"PASSED","CHECK")</f>
        <v/>
      </c>
      <c r="I30" s="8" t="inlineStr">
        <is>
          <t>Critical Corporate Action: AAPL 4-for-1 Stock Split (Aug 2020); +21.66% return verified.</t>
        </is>
      </c>
    </row>
    <row r="31" ht="21" customHeight="1">
      <c r="A31" s="4" t="inlineStr">
        <is>
          <t>CSCO</t>
        </is>
      </c>
      <c r="B31" s="19" t="inlineStr">
        <is>
          <t>2020-03-01</t>
        </is>
      </c>
      <c r="C31" s="22">
        <f>Raw_Adjusted_Prices!S67</f>
        <v/>
      </c>
      <c r="D31" s="22">
        <f>Raw_Adjusted_Prices!S68</f>
        <v/>
      </c>
      <c r="E31" s="21">
        <f>D31/C31-1</f>
        <v/>
      </c>
      <c r="F31" s="21">
        <f>Returns_data!S64</f>
        <v/>
      </c>
      <c r="G31" s="35">
        <f>ABS(E31-F31)</f>
        <v/>
      </c>
      <c r="H31" s="33">
        <f>IF(G31&lt;0.001,"PASSED","CHECK")</f>
        <v/>
      </c>
      <c r="I31" s="5" t="inlineStr">
        <is>
          <t>COVID-19 liquidity &amp; tail-risk stress month (Mar 2020) for CSCO; split/dividend adjusted.</t>
        </is>
      </c>
    </row>
    <row r="32" ht="21" customHeight="1">
      <c r="A32" s="7" t="inlineStr">
        <is>
          <t>TXN</t>
        </is>
      </c>
      <c r="B32" s="24" t="inlineStr">
        <is>
          <t>2020-03-01</t>
        </is>
      </c>
      <c r="C32" s="27">
        <f>Raw_Adjusted_Prices!T67</f>
        <v/>
      </c>
      <c r="D32" s="27">
        <f>Raw_Adjusted_Prices!T68</f>
        <v/>
      </c>
      <c r="E32" s="26">
        <f>D32/C32-1</f>
        <v/>
      </c>
      <c r="F32" s="26">
        <f>Returns_data!T64</f>
        <v/>
      </c>
      <c r="G32" s="34">
        <f>ABS(E32-F32)</f>
        <v/>
      </c>
      <c r="H32" s="33">
        <f>IF(G32&lt;0.001,"PASSED","CHECK")</f>
        <v/>
      </c>
      <c r="I32" s="8" t="inlineStr">
        <is>
          <t>COVID-19 liquidity &amp; tail-risk stress month (Mar 2020) for TXN; split/dividend adjusted.</t>
        </is>
      </c>
    </row>
    <row r="33" ht="21" customHeight="1">
      <c r="A33" s="4" t="inlineStr">
        <is>
          <t>NVDA</t>
        </is>
      </c>
      <c r="B33" s="19" t="inlineStr">
        <is>
          <t>2020-03-01</t>
        </is>
      </c>
      <c r="C33" s="22">
        <f>Raw_Adjusted_Prices!U67</f>
        <v/>
      </c>
      <c r="D33" s="22">
        <f>Raw_Adjusted_Prices!U68</f>
        <v/>
      </c>
      <c r="E33" s="21">
        <f>D33/C33-1</f>
        <v/>
      </c>
      <c r="F33" s="21">
        <f>Returns_data!U64</f>
        <v/>
      </c>
      <c r="G33" s="35">
        <f>ABS(E33-F33)</f>
        <v/>
      </c>
      <c r="H33" s="33">
        <f>IF(G33&lt;0.001,"PASSED","CHECK")</f>
        <v/>
      </c>
      <c r="I33" s="5" t="inlineStr">
        <is>
          <t>COVID-19 liquidity &amp; tail-risk stress month (Mar 2020) for NVDA; split/dividend adjusted.</t>
        </is>
      </c>
    </row>
    <row r="34" ht="21" customHeight="1">
      <c r="A34" s="7" t="inlineStr">
        <is>
          <t>PFE</t>
        </is>
      </c>
      <c r="B34" s="24" t="inlineStr">
        <is>
          <t>2020-03-01</t>
        </is>
      </c>
      <c r="C34" s="27">
        <f>Raw_Adjusted_Prices!V67</f>
        <v/>
      </c>
      <c r="D34" s="27">
        <f>Raw_Adjusted_Prices!V68</f>
        <v/>
      </c>
      <c r="E34" s="26">
        <f>D34/C34-1</f>
        <v/>
      </c>
      <c r="F34" s="26">
        <f>Returns_data!V64</f>
        <v/>
      </c>
      <c r="G34" s="34">
        <f>ABS(E34-F34)</f>
        <v/>
      </c>
      <c r="H34" s="33">
        <f>IF(G34&lt;0.001,"PASSED","CHECK")</f>
        <v/>
      </c>
      <c r="I34" s="8" t="inlineStr">
        <is>
          <t>COVID-19 liquidity &amp; tail-risk stress month (Mar 2020) for PFE; split/dividend adjusted.</t>
        </is>
      </c>
    </row>
    <row r="35" ht="21" customHeight="1">
      <c r="A35" s="4" t="inlineStr">
        <is>
          <t>ABT</t>
        </is>
      </c>
      <c r="B35" s="19" t="inlineStr">
        <is>
          <t>2020-03-01</t>
        </is>
      </c>
      <c r="C35" s="22">
        <f>Raw_Adjusted_Prices!W67</f>
        <v/>
      </c>
      <c r="D35" s="22">
        <f>Raw_Adjusted_Prices!W68</f>
        <v/>
      </c>
      <c r="E35" s="21">
        <f>D35/C35-1</f>
        <v/>
      </c>
      <c r="F35" s="21">
        <f>Returns_data!W64</f>
        <v/>
      </c>
      <c r="G35" s="35">
        <f>ABS(E35-F35)</f>
        <v/>
      </c>
      <c r="H35" s="33">
        <f>IF(G35&lt;0.001,"PASSED","CHECK")</f>
        <v/>
      </c>
      <c r="I35" s="5" t="inlineStr">
        <is>
          <t>COVID-19 liquidity &amp; tail-risk stress month (Mar 2020) for ABT; split/dividend adjusted.</t>
        </is>
      </c>
    </row>
    <row r="36" ht="21" customHeight="1">
      <c r="A36" s="7" t="inlineStr">
        <is>
          <t>MRK</t>
        </is>
      </c>
      <c r="B36" s="24" t="inlineStr">
        <is>
          <t>2020-03-01</t>
        </is>
      </c>
      <c r="C36" s="27">
        <f>Raw_Adjusted_Prices!X67</f>
        <v/>
      </c>
      <c r="D36" s="27">
        <f>Raw_Adjusted_Prices!X68</f>
        <v/>
      </c>
      <c r="E36" s="26">
        <f>D36/C36-1</f>
        <v/>
      </c>
      <c r="F36" s="26">
        <f>Returns_data!X64</f>
        <v/>
      </c>
      <c r="G36" s="34">
        <f>ABS(E36-F36)</f>
        <v/>
      </c>
      <c r="H36" s="33">
        <f>IF(G36&lt;0.001,"PASSED","CHECK")</f>
        <v/>
      </c>
      <c r="I36" s="8" t="inlineStr">
        <is>
          <t>COVID-19 liquidity &amp; tail-risk stress month (Mar 2020) for MRK; split/dividend adjusted.</t>
        </is>
      </c>
    </row>
    <row r="37" ht="21" customHeight="1">
      <c r="A37" s="4" t="inlineStr">
        <is>
          <t>LLY</t>
        </is>
      </c>
      <c r="B37" s="19" t="inlineStr">
        <is>
          <t>2020-03-01</t>
        </is>
      </c>
      <c r="C37" s="22">
        <f>Raw_Adjusted_Prices!Y67</f>
        <v/>
      </c>
      <c r="D37" s="22">
        <f>Raw_Adjusted_Prices!Y68</f>
        <v/>
      </c>
      <c r="E37" s="21">
        <f>D37/C37-1</f>
        <v/>
      </c>
      <c r="F37" s="21">
        <f>Returns_data!Y64</f>
        <v/>
      </c>
      <c r="G37" s="35">
        <f>ABS(E37-F37)</f>
        <v/>
      </c>
      <c r="H37" s="33">
        <f>IF(G37&lt;0.001,"PASSED","CHECK")</f>
        <v/>
      </c>
      <c r="I37" s="5" t="inlineStr">
        <is>
          <t>COVID-19 liquidity &amp; tail-risk stress month (Mar 2020) for LLY; split/dividend adjusted.</t>
        </is>
      </c>
    </row>
    <row r="38" ht="21" customHeight="1">
      <c r="A38" s="7" t="inlineStr">
        <is>
          <t>BAC</t>
        </is>
      </c>
      <c r="B38" s="24" t="inlineStr">
        <is>
          <t>2020-03-01</t>
        </is>
      </c>
      <c r="C38" s="27">
        <f>Raw_Adjusted_Prices!Z67</f>
        <v/>
      </c>
      <c r="D38" s="27">
        <f>Raw_Adjusted_Prices!Z68</f>
        <v/>
      </c>
      <c r="E38" s="26">
        <f>D38/C38-1</f>
        <v/>
      </c>
      <c r="F38" s="26">
        <f>Returns_data!Z64</f>
        <v/>
      </c>
      <c r="G38" s="34">
        <f>ABS(E38-F38)</f>
        <v/>
      </c>
      <c r="H38" s="33">
        <f>IF(G38&lt;0.001,"PASSED","CHECK")</f>
        <v/>
      </c>
      <c r="I38" s="8" t="inlineStr">
        <is>
          <t>COVID-19 liquidity &amp; tail-risk stress month (Mar 2020) for BAC; split/dividend adjusted.</t>
        </is>
      </c>
    </row>
    <row r="39" ht="21" customHeight="1">
      <c r="A39" s="4" t="inlineStr">
        <is>
          <t>BLK</t>
        </is>
      </c>
      <c r="B39" s="19" t="inlineStr">
        <is>
          <t>2020-03-01</t>
        </is>
      </c>
      <c r="C39" s="22">
        <f>Raw_Adjusted_Prices!AA67</f>
        <v/>
      </c>
      <c r="D39" s="22">
        <f>Raw_Adjusted_Prices!AA68</f>
        <v/>
      </c>
      <c r="E39" s="21">
        <f>D39/C39-1</f>
        <v/>
      </c>
      <c r="F39" s="21">
        <f>Returns_data!AA64</f>
        <v/>
      </c>
      <c r="G39" s="35">
        <f>ABS(E39-F39)</f>
        <v/>
      </c>
      <c r="H39" s="33">
        <f>IF(G39&lt;0.001,"PASSED","CHECK")</f>
        <v/>
      </c>
      <c r="I39" s="5" t="inlineStr">
        <is>
          <t>COVID-19 liquidity &amp; tail-risk stress month (Mar 2020) for BLK; split/dividend adjusted.</t>
        </is>
      </c>
    </row>
    <row r="40" ht="21" customHeight="1">
      <c r="A40" s="7" t="inlineStr">
        <is>
          <t>AXP</t>
        </is>
      </c>
      <c r="B40" s="24" t="inlineStr">
        <is>
          <t>2020-03-01</t>
        </is>
      </c>
      <c r="C40" s="27">
        <f>Raw_Adjusted_Prices!AB67</f>
        <v/>
      </c>
      <c r="D40" s="27">
        <f>Raw_Adjusted_Prices!AB68</f>
        <v/>
      </c>
      <c r="E40" s="26">
        <f>D40/C40-1</f>
        <v/>
      </c>
      <c r="F40" s="26">
        <f>Returns_data!AB64</f>
        <v/>
      </c>
      <c r="G40" s="34">
        <f>ABS(E40-F40)</f>
        <v/>
      </c>
      <c r="H40" s="33">
        <f>IF(G40&lt;0.001,"PASSED","CHECK")</f>
        <v/>
      </c>
      <c r="I40" s="8" t="inlineStr">
        <is>
          <t>COVID-19 liquidity &amp; tail-risk stress month (Mar 2020) for AXP; split/dividend adjusted.</t>
        </is>
      </c>
    </row>
    <row r="41" ht="21" customHeight="1">
      <c r="A41" s="4" t="inlineStr">
        <is>
          <t>KO</t>
        </is>
      </c>
      <c r="B41" s="19" t="inlineStr">
        <is>
          <t>2020-03-01</t>
        </is>
      </c>
      <c r="C41" s="22">
        <f>Raw_Adjusted_Prices!AC67</f>
        <v/>
      </c>
      <c r="D41" s="22">
        <f>Raw_Adjusted_Prices!AC68</f>
        <v/>
      </c>
      <c r="E41" s="21">
        <f>D41/C41-1</f>
        <v/>
      </c>
      <c r="F41" s="21">
        <f>Returns_data!AC64</f>
        <v/>
      </c>
      <c r="G41" s="35">
        <f>ABS(E41-F41)</f>
        <v/>
      </c>
      <c r="H41" s="33">
        <f>IF(G41&lt;0.001,"PASSED","CHECK")</f>
        <v/>
      </c>
      <c r="I41" s="5" t="inlineStr">
        <is>
          <t>COVID-19 liquidity &amp; tail-risk stress month (Mar 2020) for KO; split/dividend adjusted.</t>
        </is>
      </c>
    </row>
    <row r="42" ht="21" customHeight="1">
      <c r="A42" s="7" t="inlineStr">
        <is>
          <t>PEP</t>
        </is>
      </c>
      <c r="B42" s="24" t="inlineStr">
        <is>
          <t>2020-03-01</t>
        </is>
      </c>
      <c r="C42" s="27">
        <f>Raw_Adjusted_Prices!AD67</f>
        <v/>
      </c>
      <c r="D42" s="27">
        <f>Raw_Adjusted_Prices!AD68</f>
        <v/>
      </c>
      <c r="E42" s="26">
        <f>D42/C42-1</f>
        <v/>
      </c>
      <c r="F42" s="26">
        <f>Returns_data!AD64</f>
        <v/>
      </c>
      <c r="G42" s="34">
        <f>ABS(E42-F42)</f>
        <v/>
      </c>
      <c r="H42" s="33">
        <f>IF(G42&lt;0.001,"PASSED","CHECK")</f>
        <v/>
      </c>
      <c r="I42" s="8" t="inlineStr">
        <is>
          <t>COVID-19 liquidity &amp; tail-risk stress month (Mar 2020) for PEP; split/dividend adjusted.</t>
        </is>
      </c>
    </row>
    <row r="43" ht="21" customHeight="1">
      <c r="A43" s="4" t="inlineStr">
        <is>
          <t>WMT</t>
        </is>
      </c>
      <c r="B43" s="19" t="inlineStr">
        <is>
          <t>2020-03-01</t>
        </is>
      </c>
      <c r="C43" s="22">
        <f>Raw_Adjusted_Prices!AE67</f>
        <v/>
      </c>
      <c r="D43" s="22">
        <f>Raw_Adjusted_Prices!AE68</f>
        <v/>
      </c>
      <c r="E43" s="21">
        <f>D43/C43-1</f>
        <v/>
      </c>
      <c r="F43" s="21">
        <f>Returns_data!AE64</f>
        <v/>
      </c>
      <c r="G43" s="35">
        <f>ABS(E43-F43)</f>
        <v/>
      </c>
      <c r="H43" s="33">
        <f>IF(G43&lt;0.001,"PASSED","CHECK")</f>
        <v/>
      </c>
      <c r="I43" s="5" t="inlineStr">
        <is>
          <t>COVID-19 liquidity &amp; tail-risk stress month (Mar 2020) for WMT; split/dividend adjusted.</t>
        </is>
      </c>
    </row>
    <row r="44" ht="21" customHeight="1">
      <c r="A44" s="7" t="inlineStr">
        <is>
          <t>CVX</t>
        </is>
      </c>
      <c r="B44" s="24" t="inlineStr">
        <is>
          <t>2020-03-01</t>
        </is>
      </c>
      <c r="C44" s="27">
        <f>Raw_Adjusted_Prices!AF67</f>
        <v/>
      </c>
      <c r="D44" s="27">
        <f>Raw_Adjusted_Prices!AF68</f>
        <v/>
      </c>
      <c r="E44" s="26">
        <f>D44/C44-1</f>
        <v/>
      </c>
      <c r="F44" s="26">
        <f>Returns_data!AF64</f>
        <v/>
      </c>
      <c r="G44" s="34">
        <f>ABS(E44-F44)</f>
        <v/>
      </c>
      <c r="H44" s="33">
        <f>IF(G44&lt;0.001,"PASSED","CHECK")</f>
        <v/>
      </c>
      <c r="I44" s="8" t="inlineStr">
        <is>
          <t>COVID-19 liquidity &amp; tail-risk stress month (Mar 2020) for CVX; split/dividend adjusted.</t>
        </is>
      </c>
    </row>
    <row r="45" ht="21" customHeight="1">
      <c r="A45" s="4" t="inlineStr">
        <is>
          <t>COP</t>
        </is>
      </c>
      <c r="B45" s="19" t="inlineStr">
        <is>
          <t>2020-03-01</t>
        </is>
      </c>
      <c r="C45" s="22">
        <f>Raw_Adjusted_Prices!AG67</f>
        <v/>
      </c>
      <c r="D45" s="22">
        <f>Raw_Adjusted_Prices!AG68</f>
        <v/>
      </c>
      <c r="E45" s="21">
        <f>D45/C45-1</f>
        <v/>
      </c>
      <c r="F45" s="21">
        <f>Returns_data!AG64</f>
        <v/>
      </c>
      <c r="G45" s="35">
        <f>ABS(E45-F45)</f>
        <v/>
      </c>
      <c r="H45" s="33">
        <f>IF(G45&lt;0.001,"PASSED","CHECK")</f>
        <v/>
      </c>
      <c r="I45" s="5" t="inlineStr">
        <is>
          <t>COVID-19 liquidity &amp; tail-risk stress month (Mar 2020) for COP; split/dividend adjusted.</t>
        </is>
      </c>
    </row>
    <row r="46" ht="21" customHeight="1">
      <c r="A46" s="7" t="inlineStr">
        <is>
          <t>SLB</t>
        </is>
      </c>
      <c r="B46" s="24" t="inlineStr">
        <is>
          <t>2020-03-01</t>
        </is>
      </c>
      <c r="C46" s="27">
        <f>Raw_Adjusted_Prices!AH67</f>
        <v/>
      </c>
      <c r="D46" s="27">
        <f>Raw_Adjusted_Prices!AH68</f>
        <v/>
      </c>
      <c r="E46" s="26">
        <f>D46/C46-1</f>
        <v/>
      </c>
      <c r="F46" s="26">
        <f>Returns_data!AH64</f>
        <v/>
      </c>
      <c r="G46" s="34">
        <f>ABS(E46-F46)</f>
        <v/>
      </c>
      <c r="H46" s="33">
        <f>IF(G46&lt;0.001,"PASSED","CHECK")</f>
        <v/>
      </c>
      <c r="I46" s="8" t="inlineStr">
        <is>
          <t>COVID-19 liquidity &amp; tail-risk stress month (Mar 2020) for SLB; split/dividend adjusted.</t>
        </is>
      </c>
    </row>
    <row r="47" ht="21" customHeight="1">
      <c r="A47" s="4" t="inlineStr">
        <is>
          <t>MCD</t>
        </is>
      </c>
      <c r="B47" s="19" t="inlineStr">
        <is>
          <t>2020-03-01</t>
        </is>
      </c>
      <c r="C47" s="22">
        <f>Raw_Adjusted_Prices!AI67</f>
        <v/>
      </c>
      <c r="D47" s="22">
        <f>Raw_Adjusted_Prices!AI68</f>
        <v/>
      </c>
      <c r="E47" s="21">
        <f>D47/C47-1</f>
        <v/>
      </c>
      <c r="F47" s="21">
        <f>Returns_data!AI64</f>
        <v/>
      </c>
      <c r="G47" s="35">
        <f>ABS(E47-F47)</f>
        <v/>
      </c>
      <c r="H47" s="33">
        <f>IF(G47&lt;0.001,"PASSED","CHECK")</f>
        <v/>
      </c>
      <c r="I47" s="5" t="inlineStr">
        <is>
          <t>COVID-19 liquidity &amp; tail-risk stress month (Mar 2020) for MCD; split/dividend adjusted.</t>
        </is>
      </c>
    </row>
    <row r="48" ht="21" customHeight="1">
      <c r="A48" s="7" t="inlineStr">
        <is>
          <t>NKE</t>
        </is>
      </c>
      <c r="B48" s="24" t="inlineStr">
        <is>
          <t>2020-03-01</t>
        </is>
      </c>
      <c r="C48" s="27">
        <f>Raw_Adjusted_Prices!AJ67</f>
        <v/>
      </c>
      <c r="D48" s="27">
        <f>Raw_Adjusted_Prices!AJ68</f>
        <v/>
      </c>
      <c r="E48" s="26">
        <f>D48/C48-1</f>
        <v/>
      </c>
      <c r="F48" s="26">
        <f>Returns_data!AJ64</f>
        <v/>
      </c>
      <c r="G48" s="34">
        <f>ABS(E48-F48)</f>
        <v/>
      </c>
      <c r="H48" s="33">
        <f>IF(G48&lt;0.001,"PASSED","CHECK")</f>
        <v/>
      </c>
      <c r="I48" s="8" t="inlineStr">
        <is>
          <t>COVID-19 liquidity &amp; tail-risk stress month (Mar 2020) for NKE; split/dividend adjusted.</t>
        </is>
      </c>
    </row>
    <row r="49" ht="21" customHeight="1">
      <c r="A49" s="4" t="inlineStr">
        <is>
          <t>SBUX</t>
        </is>
      </c>
      <c r="B49" s="19" t="inlineStr">
        <is>
          <t>2020-03-01</t>
        </is>
      </c>
      <c r="C49" s="22">
        <f>Raw_Adjusted_Prices!AK67</f>
        <v/>
      </c>
      <c r="D49" s="22">
        <f>Raw_Adjusted_Prices!AK68</f>
        <v/>
      </c>
      <c r="E49" s="21">
        <f>D49/C49-1</f>
        <v/>
      </c>
      <c r="F49" s="21">
        <f>Returns_data!AK64</f>
        <v/>
      </c>
      <c r="G49" s="35">
        <f>ABS(E49-F49)</f>
        <v/>
      </c>
      <c r="H49" s="33">
        <f>IF(G49&lt;0.001,"PASSED","CHECK")</f>
        <v/>
      </c>
      <c r="I49" s="5" t="inlineStr">
        <is>
          <t>COVID-19 liquidity &amp; tail-risk stress month (Mar 2020) for SBUX; split/dividend adjusted.</t>
        </is>
      </c>
    </row>
    <row r="50" ht="21" customHeight="1">
      <c r="A50" s="7" t="inlineStr">
        <is>
          <t>DUK</t>
        </is>
      </c>
      <c r="B50" s="24" t="inlineStr">
        <is>
          <t>2020-03-01</t>
        </is>
      </c>
      <c r="C50" s="27">
        <f>Raw_Adjusted_Prices!AL67</f>
        <v/>
      </c>
      <c r="D50" s="27">
        <f>Raw_Adjusted_Prices!AL68</f>
        <v/>
      </c>
      <c r="E50" s="26">
        <f>D50/C50-1</f>
        <v/>
      </c>
      <c r="F50" s="26">
        <f>Returns_data!AL64</f>
        <v/>
      </c>
      <c r="G50" s="34">
        <f>ABS(E50-F50)</f>
        <v/>
      </c>
      <c r="H50" s="33">
        <f>IF(G50&lt;0.001,"PASSED","CHECK")</f>
        <v/>
      </c>
      <c r="I50" s="8" t="inlineStr">
        <is>
          <t>COVID-19 liquidity &amp; tail-risk stress month (Mar 2020) for DUK; split/dividend adjusted.</t>
        </is>
      </c>
    </row>
    <row r="51" ht="21" customHeight="1">
      <c r="A51" s="4" t="inlineStr">
        <is>
          <t>AEP</t>
        </is>
      </c>
      <c r="B51" s="19" t="inlineStr">
        <is>
          <t>2020-03-01</t>
        </is>
      </c>
      <c r="C51" s="22">
        <f>Raw_Adjusted_Prices!AM67</f>
        <v/>
      </c>
      <c r="D51" s="22">
        <f>Raw_Adjusted_Prices!AM68</f>
        <v/>
      </c>
      <c r="E51" s="21">
        <f>D51/C51-1</f>
        <v/>
      </c>
      <c r="F51" s="21">
        <f>Returns_data!AM64</f>
        <v/>
      </c>
      <c r="G51" s="35">
        <f>ABS(E51-F51)</f>
        <v/>
      </c>
      <c r="H51" s="33">
        <f>IF(G51&lt;0.001,"PASSED","CHECK")</f>
        <v/>
      </c>
      <c r="I51" s="5" t="inlineStr">
        <is>
          <t>COVID-19 liquidity &amp; tail-risk stress month (Mar 2020) for AEP; split/dividend adjusted.</t>
        </is>
      </c>
    </row>
    <row r="52" ht="21" customHeight="1">
      <c r="A52" s="7" t="inlineStr">
        <is>
          <t>SO</t>
        </is>
      </c>
      <c r="B52" s="24" t="inlineStr">
        <is>
          <t>2020-03-01</t>
        </is>
      </c>
      <c r="C52" s="27">
        <f>Raw_Adjusted_Prices!AN67</f>
        <v/>
      </c>
      <c r="D52" s="27">
        <f>Raw_Adjusted_Prices!AN68</f>
        <v/>
      </c>
      <c r="E52" s="26">
        <f>D52/C52-1</f>
        <v/>
      </c>
      <c r="F52" s="26">
        <f>Returns_data!AN64</f>
        <v/>
      </c>
      <c r="G52" s="34">
        <f>ABS(E52-F52)</f>
        <v/>
      </c>
      <c r="H52" s="33">
        <f>IF(G52&lt;0.001,"PASSED","CHECK")</f>
        <v/>
      </c>
      <c r="I52" s="8" t="inlineStr">
        <is>
          <t>COVID-19 liquidity &amp; tail-risk stress month (Mar 2020) for SO; split/dividend adjusted.</t>
        </is>
      </c>
    </row>
    <row r="55" ht="24" customHeight="1">
      <c r="A55" s="2" t="inlineStr">
        <is>
          <t>3. Complete Summary Statistics, Volatility Drag Audit &amp; Tail-Risk Metrics (All 39 Tickers: 2015–2022 In-Sample vs. 2023–2025 Out-of-Sample)</t>
        </is>
      </c>
    </row>
    <row r="56" ht="30" customHeight="1">
      <c r="A56" s="3" t="inlineStr">
        <is>
          <t>Ticker</t>
        </is>
      </c>
      <c r="B56" s="3" t="inlineStr">
        <is>
          <t>N (In-Sample)</t>
        </is>
      </c>
      <c r="C56" s="3" t="inlineStr">
        <is>
          <t>Monthly Mean (Arith)</t>
        </is>
      </c>
      <c r="D56" s="3" t="inlineStr">
        <is>
          <t>Monthly Std Dev</t>
        </is>
      </c>
      <c r="E56" s="3" t="inlineStr">
        <is>
          <t>Monthly Min</t>
        </is>
      </c>
      <c r="F56" s="3" t="inlineStr">
        <is>
          <t>Monthly Max</t>
        </is>
      </c>
      <c r="G56" s="3" t="inlineStr">
        <is>
          <t>Ann. Arith Return (=12*Mean)</t>
        </is>
      </c>
      <c r="H56" s="3" t="inlineStr">
        <is>
          <t>True Ann. Geom Return (CAGR)</t>
        </is>
      </c>
      <c r="I56" s="3" t="inlineStr">
        <is>
          <t>Flawed Geom Formula ((1+Mean)^12-1)</t>
        </is>
      </c>
      <c r="J56" s="3" t="inlineStr">
        <is>
          <t>Vol Drag Overstatement (Flawed - True)</t>
        </is>
      </c>
      <c r="K56" s="3" t="inlineStr">
        <is>
          <t>Ann. Volatility (=Std*SQRT(12))</t>
        </is>
      </c>
      <c r="L56" s="3" t="inlineStr">
        <is>
          <t>Excess Sharpe Ratio (Rf=0.88%)</t>
        </is>
      </c>
      <c r="M56" s="3" t="inlineStr">
        <is>
          <t>Max Drawdown (2015–2022)</t>
        </is>
      </c>
      <c r="N56" s="3" t="inlineStr">
        <is>
          <t>15% Board MDD Trigger Check</t>
        </is>
      </c>
      <c r="O56" s="3" t="inlineStr">
        <is>
          <t>Skewness</t>
        </is>
      </c>
      <c r="P56" s="3" t="inlineStr">
        <is>
          <t>Excess Kurtosis</t>
        </is>
      </c>
      <c r="Q56" s="3" t="inlineStr">
        <is>
          <t>Downside Beta (vs VTI&lt;0)</t>
        </is>
      </c>
      <c r="R56" s="3" t="inlineStr">
        <is>
          <t>95% Monthly CVaR</t>
        </is>
      </c>
      <c r="S56" s="3" t="inlineStr">
        <is>
          <t>Crisis Corr (Worst 15% Mos)</t>
        </is>
      </c>
      <c r="T56" s="3" t="inlineStr">
        <is>
          <t>OOS 2023–2025 Geom CAGR</t>
        </is>
      </c>
      <c r="U56" s="3" t="inlineStr">
        <is>
          <t>OOS 2023–2025 Ann Vol</t>
        </is>
      </c>
      <c r="V56" s="3" t="inlineStr">
        <is>
          <t>OOS 2023–2025 Max DD</t>
        </is>
      </c>
    </row>
    <row r="57" ht="20" customHeight="1">
      <c r="A57" s="4" t="inlineStr">
        <is>
          <t>HD</t>
        </is>
      </c>
      <c r="B57" s="36">
        <f>COUNT(Returns_data!B2:B97)</f>
        <v/>
      </c>
      <c r="C57" s="21">
        <f>AVERAGE(Returns_data!B2:B97)</f>
        <v/>
      </c>
      <c r="D57" s="21">
        <f>STDEV(Returns_data!B2:B97)</f>
        <v/>
      </c>
      <c r="E57" s="21">
        <f>MIN(Returns_data!B2:B97)</f>
        <v/>
      </c>
      <c r="F57" s="21">
        <f>MAX(Returns_data!B2:B97)</f>
        <v/>
      </c>
      <c r="G57" s="21">
        <f>C57*12</f>
        <v/>
      </c>
      <c r="H57" s="20" t="n">
        <v>0.1740169969162524</v>
      </c>
      <c r="I57" s="21">
        <f>(1+C57)^12-1</f>
        <v/>
      </c>
      <c r="J57" s="37">
        <f>I57-H57</f>
        <v/>
      </c>
      <c r="K57" s="21">
        <f>D57*SQRT(12)</f>
        <v/>
      </c>
      <c r="L57" s="38">
        <f>(G57-0.008835)/K57</f>
        <v/>
      </c>
      <c r="M57" s="20" t="n">
        <v>-0.3309372673746132</v>
      </c>
      <c r="N57" s="39">
        <f>IF(M57&gt;=-0.15,"WITHIN -15%","EXCEEDS -15% (NEEDS HEDGE)")</f>
        <v/>
      </c>
      <c r="O57" s="22">
        <f>SKEW(Returns_data!B2:B97)</f>
        <v/>
      </c>
      <c r="P57" s="22">
        <f>KURT(Returns_data!B2:B97)</f>
        <v/>
      </c>
      <c r="Q57" s="38" t="n">
        <v>0.9154488296693757</v>
      </c>
      <c r="R57" s="21" t="n">
        <v>-0.127193568</v>
      </c>
      <c r="S57" s="22" t="n">
        <v>0.3266519242532898</v>
      </c>
      <c r="T57" s="20" t="n">
        <v>0.05544786836311011</v>
      </c>
      <c r="U57" s="21">
        <f>STDEV(Returns_data!B100:B135)*SQRT(12)</f>
        <v/>
      </c>
      <c r="V57" s="21" t="n">
        <v>-0.178160078086872</v>
      </c>
    </row>
    <row r="58" ht="20" customHeight="1">
      <c r="A58" s="7" t="inlineStr">
        <is>
          <t>JNJ</t>
        </is>
      </c>
      <c r="B58" s="40">
        <f>COUNT(Returns_data!C2:C97)</f>
        <v/>
      </c>
      <c r="C58" s="26">
        <f>AVERAGE(Returns_data!C2:C97)</f>
        <v/>
      </c>
      <c r="D58" s="26">
        <f>STDEV(Returns_data!C2:C97)</f>
        <v/>
      </c>
      <c r="E58" s="26">
        <f>MIN(Returns_data!C2:C97)</f>
        <v/>
      </c>
      <c r="F58" s="26">
        <f>MAX(Returns_data!C2:C97)</f>
        <v/>
      </c>
      <c r="G58" s="26">
        <f>C58*12</f>
        <v/>
      </c>
      <c r="H58" s="25" t="n">
        <v>0.09681032496266018</v>
      </c>
      <c r="I58" s="26">
        <f>(1+C58)^12-1</f>
        <v/>
      </c>
      <c r="J58" s="37">
        <f>I58-H58</f>
        <v/>
      </c>
      <c r="K58" s="26">
        <f>D58*SQRT(12)</f>
        <v/>
      </c>
      <c r="L58" s="41">
        <f>(G58-0.008835)/K58</f>
        <v/>
      </c>
      <c r="M58" s="25" t="n">
        <v>-0.1319865897680467</v>
      </c>
      <c r="N58" s="33">
        <f>IF(M58&gt;=-0.15,"WITHIN -15%","EXCEEDS -15% (NEEDS HEDGE)")</f>
        <v/>
      </c>
      <c r="O58" s="27">
        <f>SKEW(Returns_data!C2:C97)</f>
        <v/>
      </c>
      <c r="P58" s="27">
        <f>KURT(Returns_data!C2:C97)</f>
        <v/>
      </c>
      <c r="Q58" s="41" t="n">
        <v>0.2372494262189242</v>
      </c>
      <c r="R58" s="26" t="n">
        <v>-0.08559097199999999</v>
      </c>
      <c r="S58" s="27" t="n">
        <v>-0.1486981983914058</v>
      </c>
      <c r="T58" s="25" t="n">
        <v>0.08672770946030872</v>
      </c>
      <c r="U58" s="26">
        <f>STDEV(Returns_data!C100:C135)*SQRT(12)</f>
        <v/>
      </c>
      <c r="V58" s="26" t="n">
        <v>-0.1502394756743131</v>
      </c>
    </row>
    <row r="59" ht="20" customHeight="1">
      <c r="A59" s="4" t="inlineStr">
        <is>
          <t>JPM</t>
        </is>
      </c>
      <c r="B59" s="36">
        <f>COUNT(Returns_data!D2:D97)</f>
        <v/>
      </c>
      <c r="C59" s="21">
        <f>AVERAGE(Returns_data!D2:D97)</f>
        <v/>
      </c>
      <c r="D59" s="21">
        <f>STDEV(Returns_data!D2:D97)</f>
        <v/>
      </c>
      <c r="E59" s="21">
        <f>MIN(Returns_data!D2:D97)</f>
        <v/>
      </c>
      <c r="F59" s="21">
        <f>MAX(Returns_data!D2:D97)</f>
        <v/>
      </c>
      <c r="G59" s="21">
        <f>C59*12</f>
        <v/>
      </c>
      <c r="H59" s="20" t="n">
        <v>0.1310890305797474</v>
      </c>
      <c r="I59" s="21">
        <f>(1+C59)^12-1</f>
        <v/>
      </c>
      <c r="J59" s="37">
        <f>I59-H59</f>
        <v/>
      </c>
      <c r="K59" s="21">
        <f>D59*SQRT(12)</f>
        <v/>
      </c>
      <c r="L59" s="38">
        <f>(G59-0.008835)/K59</f>
        <v/>
      </c>
      <c r="M59" s="20" t="n">
        <v>-0.3711082475215248</v>
      </c>
      <c r="N59" s="39">
        <f>IF(M59&gt;=-0.15,"WITHIN -15%","EXCEEDS -15% (NEEDS HEDGE)")</f>
        <v/>
      </c>
      <c r="O59" s="22">
        <f>SKEW(Returns_data!D2:D97)</f>
        <v/>
      </c>
      <c r="P59" s="22">
        <f>KURT(Returns_data!D2:D97)</f>
        <v/>
      </c>
      <c r="Q59" s="38" t="n">
        <v>1.409895388556131</v>
      </c>
      <c r="R59" s="21" t="n">
        <v>-0.148649967</v>
      </c>
      <c r="S59" s="22" t="n">
        <v>0.8807888568014438</v>
      </c>
      <c r="T59" s="20" t="n">
        <v>0.3728112808234327</v>
      </c>
      <c r="U59" s="21">
        <f>STDEV(Returns_data!D100:D135)*SQRT(12)</f>
        <v/>
      </c>
      <c r="V59" s="21" t="n">
        <v>-0.1131399202001759</v>
      </c>
    </row>
    <row r="60" ht="20" customHeight="1">
      <c r="A60" s="7" t="inlineStr">
        <is>
          <t>MSFT</t>
        </is>
      </c>
      <c r="B60" s="40">
        <f>COUNT(Returns_data!E2:E97)</f>
        <v/>
      </c>
      <c r="C60" s="26">
        <f>AVERAGE(Returns_data!E2:E97)</f>
        <v/>
      </c>
      <c r="D60" s="26">
        <f>STDEV(Returns_data!E2:E97)</f>
        <v/>
      </c>
      <c r="E60" s="26">
        <f>MIN(Returns_data!E2:E97)</f>
        <v/>
      </c>
      <c r="F60" s="26">
        <f>MAX(Returns_data!E2:E97)</f>
        <v/>
      </c>
      <c r="G60" s="26">
        <f>C60*12</f>
        <v/>
      </c>
      <c r="H60" s="25" t="n">
        <v>0.2488177044804962</v>
      </c>
      <c r="I60" s="26">
        <f>(1+C60)^12-1</f>
        <v/>
      </c>
      <c r="J60" s="37">
        <f>I60-H60</f>
        <v/>
      </c>
      <c r="K60" s="26">
        <f>D60*SQRT(12)</f>
        <v/>
      </c>
      <c r="L60" s="41">
        <f>(G60-0.008835)/K60</f>
        <v/>
      </c>
      <c r="M60" s="25" t="n">
        <v>-0.3052848881056915</v>
      </c>
      <c r="N60" s="39">
        <f>IF(M60&gt;=-0.15,"WITHIN -15%","EXCEEDS -15% (NEEDS HEDGE)")</f>
        <v/>
      </c>
      <c r="O60" s="27">
        <f>SKEW(Returns_data!E2:E97)</f>
        <v/>
      </c>
      <c r="P60" s="27">
        <f>KURT(Returns_data!E2:E97)</f>
        <v/>
      </c>
      <c r="Q60" s="41" t="n">
        <v>0.6183920120858439</v>
      </c>
      <c r="R60" s="26" t="n">
        <v>-0.104095358</v>
      </c>
      <c r="S60" s="27" t="n">
        <v>0.1764909339085541</v>
      </c>
      <c r="T60" s="25" t="n">
        <v>0.2733912912043968</v>
      </c>
      <c r="U60" s="26">
        <f>STDEV(Returns_data!E100:E135)*SQRT(12)</f>
        <v/>
      </c>
      <c r="V60" s="26" t="n">
        <v>-0.1552332597163087</v>
      </c>
    </row>
    <row r="61" ht="20" customHeight="1">
      <c r="A61" s="4" t="inlineStr">
        <is>
          <t>NEE</t>
        </is>
      </c>
      <c r="B61" s="36">
        <f>COUNT(Returns_data!F2:F97)</f>
        <v/>
      </c>
      <c r="C61" s="21">
        <f>AVERAGE(Returns_data!F2:F97)</f>
        <v/>
      </c>
      <c r="D61" s="21">
        <f>STDEV(Returns_data!F2:F97)</f>
        <v/>
      </c>
      <c r="E61" s="21">
        <f>MIN(Returns_data!F2:F97)</f>
        <v/>
      </c>
      <c r="F61" s="21">
        <f>MAX(Returns_data!F2:F97)</f>
        <v/>
      </c>
      <c r="G61" s="21">
        <f>C61*12</f>
        <v/>
      </c>
      <c r="H61" s="20" t="n">
        <v>0.1831083305224277</v>
      </c>
      <c r="I61" s="21">
        <f>(1+C61)^12-1</f>
        <v/>
      </c>
      <c r="J61" s="37">
        <f>I61-H61</f>
        <v/>
      </c>
      <c r="K61" s="21">
        <f>D61*SQRT(12)</f>
        <v/>
      </c>
      <c r="L61" s="38">
        <f>(G61-0.008835)/K61</f>
        <v/>
      </c>
      <c r="M61" s="20" t="n">
        <v>-0.2350754764773438</v>
      </c>
      <c r="N61" s="39">
        <f>IF(M61&gt;=-0.15,"WITHIN -15%","EXCEEDS -15% (NEEDS HEDGE)")</f>
        <v/>
      </c>
      <c r="O61" s="22">
        <f>SKEW(Returns_data!F2:F97)</f>
        <v/>
      </c>
      <c r="P61" s="22">
        <f>KURT(Returns_data!F2:F97)</f>
        <v/>
      </c>
      <c r="Q61" s="38" t="n">
        <v>1.086813528370687</v>
      </c>
      <c r="R61" s="21" t="n">
        <v>-0.1180758994</v>
      </c>
      <c r="S61" s="22" t="n">
        <v>0.2168311232048961</v>
      </c>
      <c r="T61" s="20" t="n">
        <v>0.01566856892140112</v>
      </c>
      <c r="U61" s="21">
        <f>STDEV(Returns_data!F100:F135)*SQRT(12)</f>
        <v/>
      </c>
      <c r="V61" s="21" t="n">
        <v>-0.3150173379567887</v>
      </c>
    </row>
    <row r="62" ht="20" customHeight="1">
      <c r="A62" s="7" t="inlineStr">
        <is>
          <t>PG</t>
        </is>
      </c>
      <c r="B62" s="40">
        <f>COUNT(Returns_data!G2:G97)</f>
        <v/>
      </c>
      <c r="C62" s="26">
        <f>AVERAGE(Returns_data!G2:G97)</f>
        <v/>
      </c>
      <c r="D62" s="26">
        <f>STDEV(Returns_data!G2:G97)</f>
        <v/>
      </c>
      <c r="E62" s="26">
        <f>MIN(Returns_data!G2:G97)</f>
        <v/>
      </c>
      <c r="F62" s="26">
        <f>MAX(Returns_data!G2:G97)</f>
        <v/>
      </c>
      <c r="G62" s="26">
        <f>C62*12</f>
        <v/>
      </c>
      <c r="H62" s="25" t="n">
        <v>0.09699617200713107</v>
      </c>
      <c r="I62" s="26">
        <f>(1+C62)^12-1</f>
        <v/>
      </c>
      <c r="J62" s="37">
        <f>I62-H62</f>
        <v/>
      </c>
      <c r="K62" s="26">
        <f>D62*SQRT(12)</f>
        <v/>
      </c>
      <c r="L62" s="41">
        <f>(G62-0.008835)/K62</f>
        <v/>
      </c>
      <c r="M62" s="25" t="n">
        <v>-0.2146203471026181</v>
      </c>
      <c r="N62" s="39">
        <f>IF(M62&gt;=-0.15,"WITHIN -15%","EXCEEDS -15% (NEEDS HEDGE)")</f>
        <v/>
      </c>
      <c r="O62" s="27">
        <f>SKEW(Returns_data!G2:G97)</f>
        <v/>
      </c>
      <c r="P62" s="27">
        <f>KURT(Returns_data!G2:G97)</f>
        <v/>
      </c>
      <c r="Q62" s="41" t="n">
        <v>0.0278394153774793</v>
      </c>
      <c r="R62" s="26" t="n">
        <v>-0.0849455044</v>
      </c>
      <c r="S62" s="27" t="n">
        <v>-0.01368524870493958</v>
      </c>
      <c r="T62" s="25" t="n">
        <v>0.006674413876139429</v>
      </c>
      <c r="U62" s="26">
        <f>STDEV(Returns_data!G100:G135)*SQRT(12)</f>
        <v/>
      </c>
      <c r="V62" s="26" t="n">
        <v>-0.1792635091622267</v>
      </c>
    </row>
    <row r="63" ht="20" customHeight="1">
      <c r="A63" s="4" t="inlineStr">
        <is>
          <t>UNH</t>
        </is>
      </c>
      <c r="B63" s="36">
        <f>COUNT(Returns_data!H2:H97)</f>
        <v/>
      </c>
      <c r="C63" s="21">
        <f>AVERAGE(Returns_data!H2:H97)</f>
        <v/>
      </c>
      <c r="D63" s="21">
        <f>STDEV(Returns_data!H2:H97)</f>
        <v/>
      </c>
      <c r="E63" s="21">
        <f>MIN(Returns_data!H2:H97)</f>
        <v/>
      </c>
      <c r="F63" s="21">
        <f>MAX(Returns_data!H2:H97)</f>
        <v/>
      </c>
      <c r="G63" s="21">
        <f>C63*12</f>
        <v/>
      </c>
      <c r="H63" s="20" t="n">
        <v>0.2490112358862293</v>
      </c>
      <c r="I63" s="21">
        <f>(1+C63)^12-1</f>
        <v/>
      </c>
      <c r="J63" s="37">
        <f>I63-H63</f>
        <v/>
      </c>
      <c r="K63" s="21">
        <f>D63*SQRT(12)</f>
        <v/>
      </c>
      <c r="L63" s="38">
        <f>(G63-0.008835)/K63</f>
        <v/>
      </c>
      <c r="M63" s="20" t="n">
        <v>-0.2175548245212471</v>
      </c>
      <c r="N63" s="39">
        <f>IF(M63&gt;=-0.15,"WITHIN -15%","EXCEEDS -15% (NEEDS HEDGE)")</f>
        <v/>
      </c>
      <c r="O63" s="22">
        <f>SKEW(Returns_data!H2:H97)</f>
        <v/>
      </c>
      <c r="P63" s="22">
        <f>KURT(Returns_data!H2:H97)</f>
        <v/>
      </c>
      <c r="Q63" s="38" t="n">
        <v>0.2031354485944162</v>
      </c>
      <c r="R63" s="21" t="n">
        <v>-0.0844947432</v>
      </c>
      <c r="S63" s="22" t="n">
        <v>-0.1274894899464441</v>
      </c>
      <c r="T63" s="20" t="n">
        <v>-0.1303651455337975</v>
      </c>
      <c r="U63" s="21">
        <f>STDEV(Returns_data!H100:H135)*SQRT(12)</f>
        <v/>
      </c>
      <c r="V63" s="21" t="n">
        <v>-0.5847712440632793</v>
      </c>
    </row>
    <row r="64" ht="20" customHeight="1">
      <c r="A64" s="7" t="inlineStr">
        <is>
          <t>USMV</t>
        </is>
      </c>
      <c r="B64" s="40">
        <f>COUNT(Returns_data!I2:I97)</f>
        <v/>
      </c>
      <c r="C64" s="26">
        <f>AVERAGE(Returns_data!I2:I97)</f>
        <v/>
      </c>
      <c r="D64" s="26">
        <f>STDEV(Returns_data!I2:I97)</f>
        <v/>
      </c>
      <c r="E64" s="26">
        <f>MIN(Returns_data!I2:I97)</f>
        <v/>
      </c>
      <c r="F64" s="26">
        <f>MAX(Returns_data!I2:I97)</f>
        <v/>
      </c>
      <c r="G64" s="26">
        <f>C64*12</f>
        <v/>
      </c>
      <c r="H64" s="25" t="n">
        <v>0.09547005529260821</v>
      </c>
      <c r="I64" s="26">
        <f>(1+C64)^12-1</f>
        <v/>
      </c>
      <c r="J64" s="37">
        <f>I64-H64</f>
        <v/>
      </c>
      <c r="K64" s="26">
        <f>D64*SQRT(12)</f>
        <v/>
      </c>
      <c r="L64" s="41">
        <f>(G64-0.008835)/K64</f>
        <v/>
      </c>
      <c r="M64" s="25" t="n">
        <v>-0.1905592425133249</v>
      </c>
      <c r="N64" s="39">
        <f>IF(M64&gt;=-0.15,"WITHIN -15%","EXCEEDS -15% (NEEDS HEDGE)")</f>
        <v/>
      </c>
      <c r="O64" s="27">
        <f>SKEW(Returns_data!I2:I97)</f>
        <v/>
      </c>
      <c r="P64" s="27">
        <f>KURT(Returns_data!I2:I97)</f>
        <v/>
      </c>
      <c r="Q64" s="41" t="n">
        <v>0.7508425654370469</v>
      </c>
      <c r="R64" s="26" t="n">
        <v>-0.0795786802</v>
      </c>
      <c r="S64" s="27" t="n">
        <v>0.739291022936416</v>
      </c>
      <c r="T64" s="25" t="n">
        <v>0.07724005232234354</v>
      </c>
      <c r="U64" s="26">
        <f>STDEV(Returns_data!I100:I135)*SQRT(12)</f>
        <v/>
      </c>
      <c r="V64" s="26" t="n">
        <v>-0.09083385750767403</v>
      </c>
    </row>
    <row r="65" ht="20" customHeight="1">
      <c r="A65" s="4" t="inlineStr">
        <is>
          <t>VTI</t>
        </is>
      </c>
      <c r="B65" s="36">
        <f>COUNT(Returns_data!J2:J97)</f>
        <v/>
      </c>
      <c r="C65" s="21">
        <f>AVERAGE(Returns_data!J2:J97)</f>
        <v/>
      </c>
      <c r="D65" s="21">
        <f>STDEV(Returns_data!J2:J97)</f>
        <v/>
      </c>
      <c r="E65" s="21">
        <f>MIN(Returns_data!J2:J97)</f>
        <v/>
      </c>
      <c r="F65" s="21">
        <f>MAX(Returns_data!J2:J97)</f>
        <v/>
      </c>
      <c r="G65" s="21">
        <f>C65*12</f>
        <v/>
      </c>
      <c r="H65" s="20" t="n">
        <v>0.0959381126785126</v>
      </c>
      <c r="I65" s="21">
        <f>(1+C65)^12-1</f>
        <v/>
      </c>
      <c r="J65" s="37">
        <f>I65-H65</f>
        <v/>
      </c>
      <c r="K65" s="21">
        <f>D65*SQRT(12)</f>
        <v/>
      </c>
      <c r="L65" s="38">
        <f>(G65-0.008835)/K65</f>
        <v/>
      </c>
      <c r="M65" s="20" t="n">
        <v>-0.2481914279873279</v>
      </c>
      <c r="N65" s="39">
        <f>IF(M65&gt;=-0.15,"WITHIN -15%","EXCEEDS -15% (NEEDS HEDGE)")</f>
        <v/>
      </c>
      <c r="O65" s="22">
        <f>SKEW(Returns_data!J2:J97)</f>
        <v/>
      </c>
      <c r="P65" s="22">
        <f>KURT(Returns_data!J2:J97)</f>
        <v/>
      </c>
      <c r="Q65" s="38" t="n">
        <v>1</v>
      </c>
      <c r="R65" s="21" t="n">
        <v>-0.09931052659999999</v>
      </c>
      <c r="S65" s="22" t="n">
        <v>1</v>
      </c>
      <c r="T65" s="20" t="n">
        <v>0.2225910491763365</v>
      </c>
      <c r="U65" s="21">
        <f>STDEV(Returns_data!J100:J135)*SQRT(12)</f>
        <v/>
      </c>
      <c r="V65" s="21" t="n">
        <v>-0.09110837100972746</v>
      </c>
    </row>
    <row r="66" ht="20" customHeight="1">
      <c r="A66" s="7" t="inlineStr">
        <is>
          <t>XOM</t>
        </is>
      </c>
      <c r="B66" s="40">
        <f>COUNT(Returns_data!K2:K97)</f>
        <v/>
      </c>
      <c r="C66" s="26">
        <f>AVERAGE(Returns_data!K2:K97)</f>
        <v/>
      </c>
      <c r="D66" s="26">
        <f>STDEV(Returns_data!K2:K97)</f>
        <v/>
      </c>
      <c r="E66" s="26">
        <f>MIN(Returns_data!K2:K97)</f>
        <v/>
      </c>
      <c r="F66" s="26">
        <f>MAX(Returns_data!K2:K97)</f>
        <v/>
      </c>
      <c r="G66" s="26">
        <f>C66*12</f>
        <v/>
      </c>
      <c r="H66" s="25" t="n">
        <v>0.07051752224776342</v>
      </c>
      <c r="I66" s="26">
        <f>(1+C66)^12-1</f>
        <v/>
      </c>
      <c r="J66" s="37">
        <f>I66-H66</f>
        <v/>
      </c>
      <c r="K66" s="26">
        <f>D66*SQRT(12)</f>
        <v/>
      </c>
      <c r="L66" s="41">
        <f>(G66-0.008835)/K66</f>
        <v/>
      </c>
      <c r="M66" s="25" t="n">
        <v>-0.5770701499834647</v>
      </c>
      <c r="N66" s="39">
        <f>IF(M66&gt;=-0.15,"WITHIN -15%","EXCEEDS -15% (NEEDS HEDGE)")</f>
        <v/>
      </c>
      <c r="O66" s="27">
        <f>SKEW(Returns_data!K2:K97)</f>
        <v/>
      </c>
      <c r="P66" s="27">
        <f>KURT(Returns_data!K2:K97)</f>
        <v/>
      </c>
      <c r="Q66" s="41" t="n">
        <v>1.1890933051146</v>
      </c>
      <c r="R66" s="26" t="n">
        <v>-0.165633117</v>
      </c>
      <c r="S66" s="27" t="n">
        <v>0.5429175874818514</v>
      </c>
      <c r="T66" s="25" t="n">
        <v>0.06547791390568691</v>
      </c>
      <c r="U66" s="26">
        <f>STDEV(Returns_data!K100:K135)*SQRT(12)</f>
        <v/>
      </c>
      <c r="V66" s="26" t="n">
        <v>-0.1419185282522994</v>
      </c>
    </row>
    <row r="67" ht="20" customHeight="1">
      <c r="A67" s="4" t="inlineStr">
        <is>
          <t>VTV</t>
        </is>
      </c>
      <c r="B67" s="36">
        <f>COUNT(Returns_data!L2:L97)</f>
        <v/>
      </c>
      <c r="C67" s="21">
        <f>AVERAGE(Returns_data!L2:L97)</f>
        <v/>
      </c>
      <c r="D67" s="21">
        <f>STDEV(Returns_data!L2:L97)</f>
        <v/>
      </c>
      <c r="E67" s="21">
        <f>MIN(Returns_data!L2:L97)</f>
        <v/>
      </c>
      <c r="F67" s="21">
        <f>MAX(Returns_data!L2:L97)</f>
        <v/>
      </c>
      <c r="G67" s="21">
        <f>C67*12</f>
        <v/>
      </c>
      <c r="H67" s="20" t="n">
        <v>0.09358115627332309</v>
      </c>
      <c r="I67" s="21">
        <f>(1+C67)^12-1</f>
        <v/>
      </c>
      <c r="J67" s="37">
        <f>I67-H67</f>
        <v/>
      </c>
      <c r="K67" s="21">
        <f>D67*SQRT(12)</f>
        <v/>
      </c>
      <c r="L67" s="38">
        <f>(G67-0.008835)/K67</f>
        <v/>
      </c>
      <c r="M67" s="20" t="n">
        <v>-0.2502205233754778</v>
      </c>
      <c r="N67" s="39">
        <f>IF(M67&gt;=-0.15,"WITHIN -15%","EXCEEDS -15% (NEEDS HEDGE)")</f>
        <v/>
      </c>
      <c r="O67" s="22">
        <f>SKEW(Returns_data!L2:L97)</f>
        <v/>
      </c>
      <c r="P67" s="22">
        <f>KURT(Returns_data!L2:L97)</f>
        <v/>
      </c>
      <c r="Q67" s="38" t="n">
        <v>0.8843827788942324</v>
      </c>
      <c r="R67" s="21" t="n">
        <v>-0.09875699515145664</v>
      </c>
      <c r="S67" s="22" t="n">
        <v>0.839298727310155</v>
      </c>
      <c r="T67" s="20" t="n">
        <v>0.1347362398706788</v>
      </c>
      <c r="U67" s="21">
        <f>STDEV(Returns_data!L100:L135)*SQRT(12)</f>
        <v/>
      </c>
      <c r="V67" s="21" t="n">
        <v>-0.08074624690278398</v>
      </c>
    </row>
    <row r="68" ht="20" customHeight="1">
      <c r="A68" s="7" t="inlineStr">
        <is>
          <t>SCHD</t>
        </is>
      </c>
      <c r="B68" s="40">
        <f>COUNT(Returns_data!M2:M97)</f>
        <v/>
      </c>
      <c r="C68" s="26">
        <f>AVERAGE(Returns_data!M2:M97)</f>
        <v/>
      </c>
      <c r="D68" s="26">
        <f>STDEV(Returns_data!M2:M97)</f>
        <v/>
      </c>
      <c r="E68" s="26">
        <f>MIN(Returns_data!M2:M97)</f>
        <v/>
      </c>
      <c r="F68" s="26">
        <f>MAX(Returns_data!M2:M97)</f>
        <v/>
      </c>
      <c r="G68" s="26">
        <f>C68*12</f>
        <v/>
      </c>
      <c r="H68" s="25" t="n">
        <v>0.1177705005396976</v>
      </c>
      <c r="I68" s="26">
        <f>(1+C68)^12-1</f>
        <v/>
      </c>
      <c r="J68" s="37">
        <f>I68-H68</f>
        <v/>
      </c>
      <c r="K68" s="26">
        <f>D68*SQRT(12)</f>
        <v/>
      </c>
      <c r="L68" s="41">
        <f>(G68-0.008835)/K68</f>
        <v/>
      </c>
      <c r="M68" s="25" t="n">
        <v>-0.2149901380670611</v>
      </c>
      <c r="N68" s="39">
        <f>IF(M68&gt;=-0.15,"WITHIN -15%","EXCEEDS -15% (NEEDS HEDGE)")</f>
        <v/>
      </c>
      <c r="O68" s="27">
        <f>SKEW(Returns_data!M2:M97)</f>
        <v/>
      </c>
      <c r="P68" s="27">
        <f>KURT(Returns_data!M2:M97)</f>
        <v/>
      </c>
      <c r="Q68" s="41" t="n">
        <v>0.8377298937361961</v>
      </c>
      <c r="R68" s="26" t="n">
        <v>-0.08978310397914216</v>
      </c>
      <c r="S68" s="27" t="n">
        <v>0.7599933110194642</v>
      </c>
      <c r="T68" s="25" t="n">
        <v>0.06792370727674846</v>
      </c>
      <c r="U68" s="26">
        <f>STDEV(Returns_data!M100:M135)*SQRT(12)</f>
        <v/>
      </c>
      <c r="V68" s="26" t="n">
        <v>-0.1095342066957785</v>
      </c>
    </row>
    <row r="69" ht="20" customHeight="1">
      <c r="A69" s="4" t="inlineStr">
        <is>
          <t>RSP</t>
        </is>
      </c>
      <c r="B69" s="36">
        <f>COUNT(Returns_data!N2:N97)</f>
        <v/>
      </c>
      <c r="C69" s="21">
        <f>AVERAGE(Returns_data!N2:N97)</f>
        <v/>
      </c>
      <c r="D69" s="21">
        <f>STDEV(Returns_data!N2:N97)</f>
        <v/>
      </c>
      <c r="E69" s="21">
        <f>MIN(Returns_data!N2:N97)</f>
        <v/>
      </c>
      <c r="F69" s="21">
        <f>MAX(Returns_data!N2:N97)</f>
        <v/>
      </c>
      <c r="G69" s="21">
        <f>C69*12</f>
        <v/>
      </c>
      <c r="H69" s="20" t="n">
        <v>0.09199019845368062</v>
      </c>
      <c r="I69" s="21">
        <f>(1+C69)^12-1</f>
        <v/>
      </c>
      <c r="J69" s="37">
        <f>I69-H69</f>
        <v/>
      </c>
      <c r="K69" s="21">
        <f>D69*SQRT(12)</f>
        <v/>
      </c>
      <c r="L69" s="38">
        <f>(G69-0.008835)/K69</f>
        <v/>
      </c>
      <c r="M69" s="20" t="n">
        <v>-0.2667569397427219</v>
      </c>
      <c r="N69" s="39">
        <f>IF(M69&gt;=-0.15,"WITHIN -15%","EXCEEDS -15% (NEEDS HEDGE)")</f>
        <v/>
      </c>
      <c r="O69" s="22">
        <f>SKEW(Returns_data!N2:N97)</f>
        <v/>
      </c>
      <c r="P69" s="22">
        <f>KURT(Returns_data!N2:N97)</f>
        <v/>
      </c>
      <c r="Q69" s="38" t="n">
        <v>1.088669922297751</v>
      </c>
      <c r="R69" s="21" t="n">
        <v>-0.1099410404080523</v>
      </c>
      <c r="S69" s="22" t="n">
        <v>0.9370391892574303</v>
      </c>
      <c r="T69" s="20" t="n">
        <v>0.125647323062976</v>
      </c>
      <c r="U69" s="21">
        <f>STDEV(Returns_data!N100:N135)*SQRT(12)</f>
        <v/>
      </c>
      <c r="V69" s="21" t="n">
        <v>-0.1191590369616817</v>
      </c>
    </row>
    <row r="70" ht="20" customHeight="1">
      <c r="A70" s="7" t="inlineStr">
        <is>
          <t>QQQ</t>
        </is>
      </c>
      <c r="B70" s="40">
        <f>COUNT(Returns_data!O2:O97)</f>
        <v/>
      </c>
      <c r="C70" s="26">
        <f>AVERAGE(Returns_data!O2:O97)</f>
        <v/>
      </c>
      <c r="D70" s="26">
        <f>STDEV(Returns_data!O2:O97)</f>
        <v/>
      </c>
      <c r="E70" s="26">
        <f>MIN(Returns_data!O2:O97)</f>
        <v/>
      </c>
      <c r="F70" s="26">
        <f>MAX(Returns_data!O2:O97)</f>
        <v/>
      </c>
      <c r="G70" s="26">
        <f>C70*12</f>
        <v/>
      </c>
      <c r="H70" s="25" t="n">
        <v>0.1348600390616463</v>
      </c>
      <c r="I70" s="26">
        <f>(1+C70)^12-1</f>
        <v/>
      </c>
      <c r="J70" s="37">
        <f>I70-H70</f>
        <v/>
      </c>
      <c r="K70" s="26">
        <f>D70*SQRT(12)</f>
        <v/>
      </c>
      <c r="L70" s="41">
        <f>(G70-0.008835)/K70</f>
        <v/>
      </c>
      <c r="M70" s="25" t="n">
        <v>-0.3257805398976472</v>
      </c>
      <c r="N70" s="39">
        <f>IF(M70&gt;=-0.15,"WITHIN -15%","EXCEEDS -15% (NEEDS HEDGE)")</f>
        <v/>
      </c>
      <c r="O70" s="27">
        <f>SKEW(Returns_data!O2:O97)</f>
        <v/>
      </c>
      <c r="P70" s="27">
        <f>KURT(Returns_data!O2:O97)</f>
        <v/>
      </c>
      <c r="Q70" s="41" t="n">
        <v>0.9360004849090349</v>
      </c>
      <c r="R70" s="26" t="n">
        <v>-0.101602</v>
      </c>
      <c r="S70" s="27" t="n">
        <v>0.5127174766634865</v>
      </c>
      <c r="T70" s="25" t="n">
        <v>0.32923364437244</v>
      </c>
      <c r="U70" s="26">
        <f>STDEV(Returns_data!O100:O135)*SQRT(12)</f>
        <v/>
      </c>
      <c r="V70" s="26" t="n">
        <v>-0.1008429296144128</v>
      </c>
    </row>
    <row r="71" ht="20" customHeight="1">
      <c r="A71" s="4" t="inlineStr">
        <is>
          <t>VUG</t>
        </is>
      </c>
      <c r="B71" s="36">
        <f>COUNT(Returns_data!P2:P97)</f>
        <v/>
      </c>
      <c r="C71" s="21">
        <f>AVERAGE(Returns_data!P2:P97)</f>
        <v/>
      </c>
      <c r="D71" s="21">
        <f>STDEV(Returns_data!P2:P97)</f>
        <v/>
      </c>
      <c r="E71" s="21">
        <f>MIN(Returns_data!P2:P97)</f>
        <v/>
      </c>
      <c r="F71" s="21">
        <f>MAX(Returns_data!P2:P97)</f>
        <v/>
      </c>
      <c r="G71" s="21">
        <f>C71*12</f>
        <v/>
      </c>
      <c r="H71" s="20" t="n">
        <v>0.1045953243904807</v>
      </c>
      <c r="I71" s="21">
        <f>(1+C71)^12-1</f>
        <v/>
      </c>
      <c r="J71" s="37">
        <f>I71-H71</f>
        <v/>
      </c>
      <c r="K71" s="21">
        <f>D71*SQRT(12)</f>
        <v/>
      </c>
      <c r="L71" s="38">
        <f>(G71-0.008835)/K71</f>
        <v/>
      </c>
      <c r="M71" s="20" t="n">
        <v>-0.331542594013814</v>
      </c>
      <c r="N71" s="39">
        <f>IF(M71&gt;=-0.15,"WITHIN -15%","EXCEEDS -15% (NEEDS HEDGE)")</f>
        <v/>
      </c>
      <c r="O71" s="22">
        <f>SKEW(Returns_data!P2:P97)</f>
        <v/>
      </c>
      <c r="P71" s="22">
        <f>KURT(Returns_data!P2:P97)</f>
        <v/>
      </c>
      <c r="Q71" s="38" t="n">
        <v>0.9748347928345591</v>
      </c>
      <c r="R71" s="21" t="n">
        <v>-0.1048248880357036</v>
      </c>
      <c r="S71" s="22" t="n">
        <v>0.748417791483916</v>
      </c>
      <c r="T71" s="20" t="n">
        <v>0.3250277006878022</v>
      </c>
      <c r="U71" s="21">
        <f>STDEV(Returns_data!P100:P135)*SQRT(12)</f>
        <v/>
      </c>
      <c r="V71" s="21" t="n">
        <v>-0.1125885243532302</v>
      </c>
    </row>
    <row r="72" ht="20" customHeight="1">
      <c r="A72" s="7" t="inlineStr">
        <is>
          <t>SPY</t>
        </is>
      </c>
      <c r="B72" s="40">
        <f>COUNT(Returns_data!Q2:Q97)</f>
        <v/>
      </c>
      <c r="C72" s="26">
        <f>AVERAGE(Returns_data!Q2:Q97)</f>
        <v/>
      </c>
      <c r="D72" s="26">
        <f>STDEV(Returns_data!Q2:Q97)</f>
        <v/>
      </c>
      <c r="E72" s="26">
        <f>MIN(Returns_data!Q2:Q97)</f>
        <v/>
      </c>
      <c r="F72" s="26">
        <f>MAX(Returns_data!Q2:Q97)</f>
        <v/>
      </c>
      <c r="G72" s="26">
        <f>C72*12</f>
        <v/>
      </c>
      <c r="H72" s="25" t="n">
        <v>0.1006528554528614</v>
      </c>
      <c r="I72" s="26">
        <f>(1+C72)^12-1</f>
        <v/>
      </c>
      <c r="J72" s="37">
        <f>I72-H72</f>
        <v/>
      </c>
      <c r="K72" s="26">
        <f>D72*SQRT(12)</f>
        <v/>
      </c>
      <c r="L72" s="41">
        <f>(G72-0.008835)/K72</f>
        <v/>
      </c>
      <c r="M72" s="25" t="n">
        <v>-0.2392755284225088</v>
      </c>
      <c r="N72" s="39">
        <f>IF(M72&gt;=-0.15,"WITHIN -15%","EXCEEDS -15% (NEEDS HEDGE)")</f>
        <v/>
      </c>
      <c r="O72" s="27">
        <f>SKEW(Returns_data!Q2:Q97)</f>
        <v/>
      </c>
      <c r="P72" s="27">
        <f>KURT(Returns_data!Q2:Q97)</f>
        <v/>
      </c>
      <c r="Q72" s="41" t="n">
        <v>0.930415208966164</v>
      </c>
      <c r="R72" s="26" t="n">
        <v>-0.09512000000000001</v>
      </c>
      <c r="S72" s="27" t="n">
        <v>0.9890910547770342</v>
      </c>
      <c r="T72" s="25" t="n">
        <v>0.2287121523063331</v>
      </c>
      <c r="U72" s="26">
        <f>STDEV(Returns_data!Q100:Q135)*SQRT(12)</f>
        <v/>
      </c>
      <c r="V72" s="26" t="n">
        <v>-0.08326135382097544</v>
      </c>
    </row>
    <row r="73" ht="20" customHeight="1">
      <c r="A73" s="4" t="inlineStr">
        <is>
          <t>AAPL</t>
        </is>
      </c>
      <c r="B73" s="36">
        <f>COUNT(Returns_data!R2:R97)</f>
        <v/>
      </c>
      <c r="C73" s="21">
        <f>AVERAGE(Returns_data!R2:R97)</f>
        <v/>
      </c>
      <c r="D73" s="21">
        <f>STDEV(Returns_data!R2:R97)</f>
        <v/>
      </c>
      <c r="E73" s="21">
        <f>MIN(Returns_data!R2:R97)</f>
        <v/>
      </c>
      <c r="F73" s="21">
        <f>MAX(Returns_data!R2:R97)</f>
        <v/>
      </c>
      <c r="G73" s="21">
        <f>C73*12</f>
        <v/>
      </c>
      <c r="H73" s="20" t="n">
        <v>0.229765844103091</v>
      </c>
      <c r="I73" s="21">
        <f>(1+C73)^12-1</f>
        <v/>
      </c>
      <c r="J73" s="37">
        <f>I73-H73</f>
        <v/>
      </c>
      <c r="K73" s="21">
        <f>D73*SQRT(12)</f>
        <v/>
      </c>
      <c r="L73" s="38">
        <f>(G73-0.008835)/K73</f>
        <v/>
      </c>
      <c r="M73" s="20" t="n">
        <v>-0.3046184717550167</v>
      </c>
      <c r="N73" s="39">
        <f>IF(M73&gt;=-0.15,"WITHIN -15%","EXCEEDS -15% (NEEDS HEDGE)")</f>
        <v/>
      </c>
      <c r="O73" s="22">
        <f>SKEW(Returns_data!R2:R97)</f>
        <v/>
      </c>
      <c r="P73" s="22">
        <f>KURT(Returns_data!R2:R97)</f>
        <v/>
      </c>
      <c r="Q73" s="38" t="n">
        <v>0.9499394414910344</v>
      </c>
      <c r="R73" s="21" t="n">
        <v>-0.137716</v>
      </c>
      <c r="S73" s="22" t="n">
        <v>0.4407351853305744</v>
      </c>
      <c r="T73" s="20" t="n">
        <v>0.2854255033371695</v>
      </c>
      <c r="U73" s="21">
        <f>STDEV(Returns_data!R100:R135)*SQRT(12)</f>
        <v/>
      </c>
      <c r="V73" s="21" t="n">
        <v>-0.196042152682809</v>
      </c>
    </row>
    <row r="74" ht="20" customHeight="1">
      <c r="A74" s="7" t="inlineStr">
        <is>
          <t>CSCO</t>
        </is>
      </c>
      <c r="B74" s="40">
        <f>COUNT(Returns_data!S2:S97)</f>
        <v/>
      </c>
      <c r="C74" s="26">
        <f>AVERAGE(Returns_data!S2:S97)</f>
        <v/>
      </c>
      <c r="D74" s="26">
        <f>STDEV(Returns_data!S2:S97)</f>
        <v/>
      </c>
      <c r="E74" s="26">
        <f>MIN(Returns_data!S2:S97)</f>
        <v/>
      </c>
      <c r="F74" s="26">
        <f>MAX(Returns_data!S2:S97)</f>
        <v/>
      </c>
      <c r="G74" s="26">
        <f>C74*12</f>
        <v/>
      </c>
      <c r="H74" s="25" t="n">
        <v>0.1035774941665433</v>
      </c>
      <c r="I74" s="26">
        <f>(1+C74)^12-1</f>
        <v/>
      </c>
      <c r="J74" s="37">
        <f>I74-H74</f>
        <v/>
      </c>
      <c r="K74" s="26">
        <f>D74*SQRT(12)</f>
        <v/>
      </c>
      <c r="L74" s="41">
        <f>(G74-0.008835)/K74</f>
        <v/>
      </c>
      <c r="M74" s="25" t="n">
        <v>-0.3549666486389037</v>
      </c>
      <c r="N74" s="39">
        <f>IF(M74&gt;=-0.15,"WITHIN -15%","EXCEEDS -15% (NEEDS HEDGE)")</f>
        <v/>
      </c>
      <c r="O74" s="27">
        <f>SKEW(Returns_data!S2:S97)</f>
        <v/>
      </c>
      <c r="P74" s="27">
        <f>KURT(Returns_data!S2:S97)</f>
        <v/>
      </c>
      <c r="Q74" s="41" t="n">
        <v>0.6033822672769771</v>
      </c>
      <c r="R74" s="26" t="n">
        <v>-0.1272036781694791</v>
      </c>
      <c r="S74" s="27" t="n">
        <v>0.2214322830245563</v>
      </c>
      <c r="T74" s="25" t="n">
        <v>0.2085434036628682</v>
      </c>
      <c r="U74" s="26">
        <f>STDEV(Returns_data!S100:S135)*SQRT(12)</f>
        <v/>
      </c>
      <c r="V74" s="26" t="n">
        <v>-0.1702529256323142</v>
      </c>
    </row>
    <row r="75" ht="20" customHeight="1">
      <c r="A75" s="4" t="inlineStr">
        <is>
          <t>TXN</t>
        </is>
      </c>
      <c r="B75" s="36">
        <f>COUNT(Returns_data!T2:T97)</f>
        <v/>
      </c>
      <c r="C75" s="21">
        <f>AVERAGE(Returns_data!T2:T97)</f>
        <v/>
      </c>
      <c r="D75" s="21">
        <f>STDEV(Returns_data!T2:T97)</f>
        <v/>
      </c>
      <c r="E75" s="21">
        <f>MIN(Returns_data!T2:T97)</f>
        <v/>
      </c>
      <c r="F75" s="21">
        <f>MAX(Returns_data!T2:T97)</f>
        <v/>
      </c>
      <c r="G75" s="21">
        <f>C75*12</f>
        <v/>
      </c>
      <c r="H75" s="20" t="n">
        <v>0.1821454171254122</v>
      </c>
      <c r="I75" s="21">
        <f>(1+C75)^12-1</f>
        <v/>
      </c>
      <c r="J75" s="37">
        <f>I75-H75</f>
        <v/>
      </c>
      <c r="K75" s="21">
        <f>D75*SQRT(12)</f>
        <v/>
      </c>
      <c r="L75" s="38">
        <f>(G75-0.008835)/K75</f>
        <v/>
      </c>
      <c r="M75" s="20" t="n">
        <v>-0.2154612997272641</v>
      </c>
      <c r="N75" s="39">
        <f>IF(M75&gt;=-0.15,"WITHIN -15%","EXCEEDS -15% (NEEDS HEDGE)")</f>
        <v/>
      </c>
      <c r="O75" s="22">
        <f>SKEW(Returns_data!T2:T97)</f>
        <v/>
      </c>
      <c r="P75" s="22">
        <f>KURT(Returns_data!T2:T97)</f>
        <v/>
      </c>
      <c r="Q75" s="38" t="n">
        <v>0.9554769710052833</v>
      </c>
      <c r="R75" s="21" t="n">
        <v>-0.1151735269967536</v>
      </c>
      <c r="S75" s="22" t="n">
        <v>0.5462034275872346</v>
      </c>
      <c r="T75" s="20" t="n">
        <v>0.04770183442959786</v>
      </c>
      <c r="U75" s="21">
        <f>STDEV(Returns_data!T100:T135)*SQRT(12)</f>
        <v/>
      </c>
      <c r="V75" s="21" t="n">
        <v>-0.2363555687028546</v>
      </c>
    </row>
    <row r="76" ht="20" customHeight="1">
      <c r="A76" s="7" t="inlineStr">
        <is>
          <t>NVDA</t>
        </is>
      </c>
      <c r="B76" s="40">
        <f>COUNT(Returns_data!U2:U97)</f>
        <v/>
      </c>
      <c r="C76" s="26">
        <f>AVERAGE(Returns_data!U2:U97)</f>
        <v/>
      </c>
      <c r="D76" s="26">
        <f>STDEV(Returns_data!U2:U97)</f>
        <v/>
      </c>
      <c r="E76" s="26">
        <f>MIN(Returns_data!U2:U97)</f>
        <v/>
      </c>
      <c r="F76" s="26">
        <f>MAX(Returns_data!U2:U97)</f>
        <v/>
      </c>
      <c r="G76" s="26">
        <f>C76*12</f>
        <v/>
      </c>
      <c r="H76" s="25" t="n">
        <v>0.532196746540708</v>
      </c>
      <c r="I76" s="26">
        <f>(1+C76)^12-1</f>
        <v/>
      </c>
      <c r="J76" s="37">
        <f>I76-H76</f>
        <v/>
      </c>
      <c r="K76" s="26">
        <f>D76*SQRT(12)</f>
        <v/>
      </c>
      <c r="L76" s="41">
        <f>(G76-0.008835)/K76</f>
        <v/>
      </c>
      <c r="M76" s="25" t="n">
        <v>-0.6281854467301198</v>
      </c>
      <c r="N76" s="39">
        <f>IF(M76&gt;=-0.15,"WITHIN -15%","EXCEEDS -15% (NEEDS HEDGE)")</f>
        <v/>
      </c>
      <c r="O76" s="27">
        <f>SKEW(Returns_data!U2:U97)</f>
        <v/>
      </c>
      <c r="P76" s="27">
        <f>KURT(Returns_data!U2:U97)</f>
        <v/>
      </c>
      <c r="Q76" s="41" t="n">
        <v>1.779688614145293</v>
      </c>
      <c r="R76" s="26" t="n">
        <v>-0.2480597196815172</v>
      </c>
      <c r="S76" s="27" t="n">
        <v>0.07136689560335556</v>
      </c>
      <c r="T76" s="25" t="n">
        <v>1.337734198783584</v>
      </c>
      <c r="U76" s="26">
        <f>STDEV(Returns_data!U100:U135)*SQRT(12)</f>
        <v/>
      </c>
      <c r="V76" s="26" t="n">
        <v>-0.2158950952691443</v>
      </c>
    </row>
    <row r="77" ht="20" customHeight="1">
      <c r="A77" s="4" t="inlineStr">
        <is>
          <t>PFE</t>
        </is>
      </c>
      <c r="B77" s="36">
        <f>COUNT(Returns_data!V2:V97)</f>
        <v/>
      </c>
      <c r="C77" s="21">
        <f>AVERAGE(Returns_data!V2:V97)</f>
        <v/>
      </c>
      <c r="D77" s="21">
        <f>STDEV(Returns_data!V2:V97)</f>
        <v/>
      </c>
      <c r="E77" s="21">
        <f>MIN(Returns_data!V2:V97)</f>
        <v/>
      </c>
      <c r="F77" s="21">
        <f>MAX(Returns_data!V2:V97)</f>
        <v/>
      </c>
      <c r="G77" s="21">
        <f>C77*12</f>
        <v/>
      </c>
      <c r="H77" s="20" t="n">
        <v>0.1108503940028409</v>
      </c>
      <c r="I77" s="21">
        <f>(1+C77)^12-1</f>
        <v/>
      </c>
      <c r="J77" s="37">
        <f>I77-H77</f>
        <v/>
      </c>
      <c r="K77" s="21">
        <f>D77*SQRT(12)</f>
        <v/>
      </c>
      <c r="L77" s="38">
        <f>(G77-0.008835)/K77</f>
        <v/>
      </c>
      <c r="M77" s="20" t="n">
        <v>-0.2602831330757733</v>
      </c>
      <c r="N77" s="39">
        <f>IF(M77&gt;=-0.15,"WITHIN -15%","EXCEEDS -15% (NEEDS HEDGE)")</f>
        <v/>
      </c>
      <c r="O77" s="22">
        <f>SKEW(Returns_data!V2:V97)</f>
        <v/>
      </c>
      <c r="P77" s="22">
        <f>KURT(Returns_data!V2:V97)</f>
        <v/>
      </c>
      <c r="Q77" s="38" t="n">
        <v>0.4754673343790486</v>
      </c>
      <c r="R77" s="21" t="n">
        <v>-0.112682</v>
      </c>
      <c r="S77" s="22" t="n">
        <v>-0.16372654525977</v>
      </c>
      <c r="T77" s="20" t="n">
        <v>-0.1669445370885118</v>
      </c>
      <c r="U77" s="21">
        <f>STDEV(Returns_data!V100:V135)*SQRT(12)</f>
        <v/>
      </c>
      <c r="V77" s="21" t="n">
        <v>-0.4731445312500001</v>
      </c>
    </row>
    <row r="78" ht="20" customHeight="1">
      <c r="A78" s="7" t="inlineStr">
        <is>
          <t>ABT</t>
        </is>
      </c>
      <c r="B78" s="40">
        <f>COUNT(Returns_data!W2:W97)</f>
        <v/>
      </c>
      <c r="C78" s="26">
        <f>AVERAGE(Returns_data!W2:W97)</f>
        <v/>
      </c>
      <c r="D78" s="26">
        <f>STDEV(Returns_data!W2:W97)</f>
        <v/>
      </c>
      <c r="E78" s="26">
        <f>MIN(Returns_data!W2:W97)</f>
        <v/>
      </c>
      <c r="F78" s="26">
        <f>MAX(Returns_data!W2:W97)</f>
        <v/>
      </c>
      <c r="G78" s="26">
        <f>C78*12</f>
        <v/>
      </c>
      <c r="H78" s="25" t="n">
        <v>0.1391684750465683</v>
      </c>
      <c r="I78" s="26">
        <f>(1+C78)^12-1</f>
        <v/>
      </c>
      <c r="J78" s="37">
        <f>I78-H78</f>
        <v/>
      </c>
      <c r="K78" s="26">
        <f>D78*SQRT(12)</f>
        <v/>
      </c>
      <c r="L78" s="41">
        <f>(G78-0.008835)/K78</f>
        <v/>
      </c>
      <c r="M78" s="25" t="n">
        <v>-0.3041816195974409</v>
      </c>
      <c r="N78" s="39">
        <f>IF(M78&gt;=-0.15,"WITHIN -15%","EXCEEDS -15% (NEEDS HEDGE)")</f>
        <v/>
      </c>
      <c r="O78" s="27">
        <f>SKEW(Returns_data!W2:W97)</f>
        <v/>
      </c>
      <c r="P78" s="27">
        <f>KURT(Returns_data!W2:W97)</f>
        <v/>
      </c>
      <c r="Q78" s="41" t="n">
        <v>0.5705569563521246</v>
      </c>
      <c r="R78" s="26" t="n">
        <v>-0.115480891191424</v>
      </c>
      <c r="S78" s="27" t="n">
        <v>-0.3590583563395222</v>
      </c>
      <c r="T78" s="25" t="n">
        <v>0.06554246578604506</v>
      </c>
      <c r="U78" s="26">
        <f>STDEV(Returns_data!W100:W135)*SQRT(12)</f>
        <v/>
      </c>
      <c r="V78" s="26" t="n">
        <v>-0.1460126219162364</v>
      </c>
    </row>
    <row r="79" ht="20" customHeight="1">
      <c r="A79" s="4" t="inlineStr">
        <is>
          <t>MRK</t>
        </is>
      </c>
      <c r="B79" s="36">
        <f>COUNT(Returns_data!X2:X97)</f>
        <v/>
      </c>
      <c r="C79" s="21">
        <f>AVERAGE(Returns_data!X2:X97)</f>
        <v/>
      </c>
      <c r="D79" s="21">
        <f>STDEV(Returns_data!X2:X97)</f>
        <v/>
      </c>
      <c r="E79" s="21">
        <f>MIN(Returns_data!X2:X97)</f>
        <v/>
      </c>
      <c r="F79" s="21">
        <f>MAX(Returns_data!X2:X97)</f>
        <v/>
      </c>
      <c r="G79" s="21">
        <f>C79*12</f>
        <v/>
      </c>
      <c r="H79" s="20" t="n">
        <v>0.1284925907427097</v>
      </c>
      <c r="I79" s="21">
        <f>(1+C79)^12-1</f>
        <v/>
      </c>
      <c r="J79" s="37">
        <f>I79-H79</f>
        <v/>
      </c>
      <c r="K79" s="21">
        <f>D79*SQRT(12)</f>
        <v/>
      </c>
      <c r="L79" s="38">
        <f>(G79-0.008835)/K79</f>
        <v/>
      </c>
      <c r="M79" s="20" t="n">
        <v>-0.1761628728969322</v>
      </c>
      <c r="N79" s="39">
        <f>IF(M79&gt;=-0.15,"WITHIN -15%","EXCEEDS -15% (NEEDS HEDGE)")</f>
        <v/>
      </c>
      <c r="O79" s="22">
        <f>SKEW(Returns_data!X2:X97)</f>
        <v/>
      </c>
      <c r="P79" s="22">
        <f>KURT(Returns_data!X2:X97)</f>
        <v/>
      </c>
      <c r="Q79" s="38" t="n">
        <v>-0.4423200918152081</v>
      </c>
      <c r="R79" s="21" t="n">
        <v>-0.1146259136284292</v>
      </c>
      <c r="S79" s="22" t="n">
        <v>-0.3318593101863137</v>
      </c>
      <c r="T79" s="20" t="n">
        <v>0.01302401352640348</v>
      </c>
      <c r="U79" s="21">
        <f>STDEV(Returns_data!X100:X135)*SQRT(12)</f>
        <v/>
      </c>
      <c r="V79" s="21" t="n">
        <v>-0.4003909431503502</v>
      </c>
    </row>
    <row r="80" ht="20" customHeight="1">
      <c r="A80" s="7" t="inlineStr">
        <is>
          <t>LLY</t>
        </is>
      </c>
      <c r="B80" s="40">
        <f>COUNT(Returns_data!Y2:Y97)</f>
        <v/>
      </c>
      <c r="C80" s="26">
        <f>AVERAGE(Returns_data!Y2:Y97)</f>
        <v/>
      </c>
      <c r="D80" s="26">
        <f>STDEV(Returns_data!Y2:Y97)</f>
        <v/>
      </c>
      <c r="E80" s="26">
        <f>MIN(Returns_data!Y2:Y97)</f>
        <v/>
      </c>
      <c r="F80" s="26">
        <f>MAX(Returns_data!Y2:Y97)</f>
        <v/>
      </c>
      <c r="G80" s="26">
        <f>C80*12</f>
        <v/>
      </c>
      <c r="H80" s="25" t="n">
        <v>0.2589513653836069</v>
      </c>
      <c r="I80" s="26">
        <f>(1+C80)^12-1</f>
        <v/>
      </c>
      <c r="J80" s="37">
        <f>I80-H80</f>
        <v/>
      </c>
      <c r="K80" s="26">
        <f>D80*SQRT(12)</f>
        <v/>
      </c>
      <c r="L80" s="41">
        <f>(G80-0.008835)/K80</f>
        <v/>
      </c>
      <c r="M80" s="25" t="n">
        <v>-0.2015630087919247</v>
      </c>
      <c r="N80" s="39">
        <f>IF(M80&gt;=-0.15,"WITHIN -15%","EXCEEDS -15% (NEEDS HEDGE)")</f>
        <v/>
      </c>
      <c r="O80" s="27">
        <f>SKEW(Returns_data!Y2:Y97)</f>
        <v/>
      </c>
      <c r="P80" s="27">
        <f>KURT(Returns_data!Y2:Y97)</f>
        <v/>
      </c>
      <c r="Q80" s="41" t="n">
        <v>0.1011968313149673</v>
      </c>
      <c r="R80" s="26" t="n">
        <v>-0.1051623868831135</v>
      </c>
      <c r="S80" s="27" t="n">
        <v>-0.7532846387936727</v>
      </c>
      <c r="T80" s="25" t="n">
        <v>0.4435509842547072</v>
      </c>
      <c r="U80" s="26">
        <f>STDEV(Returns_data!Y100:Y135)*SQRT(12)</f>
        <v/>
      </c>
      <c r="V80" s="26" t="n">
        <v>-0.2310722886475982</v>
      </c>
    </row>
    <row r="81" ht="20" customHeight="1">
      <c r="A81" s="4" t="inlineStr">
        <is>
          <t>BAC</t>
        </is>
      </c>
      <c r="B81" s="36">
        <f>COUNT(Returns_data!Z2:Z97)</f>
        <v/>
      </c>
      <c r="C81" s="21">
        <f>AVERAGE(Returns_data!Z2:Z97)</f>
        <v/>
      </c>
      <c r="D81" s="21">
        <f>STDEV(Returns_data!Z2:Z97)</f>
        <v/>
      </c>
      <c r="E81" s="21">
        <f>MIN(Returns_data!Z2:Z97)</f>
        <v/>
      </c>
      <c r="F81" s="21">
        <f>MAX(Returns_data!Z2:Z97)</f>
        <v/>
      </c>
      <c r="G81" s="21">
        <f>C81*12</f>
        <v/>
      </c>
      <c r="H81" s="20" t="n">
        <v>0.1008245403274919</v>
      </c>
      <c r="I81" s="21">
        <f>(1+C81)^12-1</f>
        <v/>
      </c>
      <c r="J81" s="37">
        <f>I81-H81</f>
        <v/>
      </c>
      <c r="K81" s="21">
        <f>D81*SQRT(12)</f>
        <v/>
      </c>
      <c r="L81" s="38">
        <f>(G81-0.008835)/K81</f>
        <v/>
      </c>
      <c r="M81" s="20" t="n">
        <v>-0.393366994468282</v>
      </c>
      <c r="N81" s="39">
        <f>IF(M81&gt;=-0.15,"WITHIN -15%","EXCEEDS -15% (NEEDS HEDGE)")</f>
        <v/>
      </c>
      <c r="O81" s="22">
        <f>SKEW(Returns_data!Z2:Z97)</f>
        <v/>
      </c>
      <c r="P81" s="22">
        <f>KURT(Returns_data!Z2:Z97)</f>
        <v/>
      </c>
      <c r="Q81" s="38" t="n">
        <v>1.311464625672213</v>
      </c>
      <c r="R81" s="21" t="n">
        <v>-0.1712190794559771</v>
      </c>
      <c r="S81" s="22" t="n">
        <v>0.7692842652893515</v>
      </c>
      <c r="T81" s="20" t="n">
        <v>0.2156623462725604</v>
      </c>
      <c r="U81" s="21">
        <f>STDEV(Returns_data!Z100:Z135)*SQRT(12)</f>
        <v/>
      </c>
      <c r="V81" s="21" t="n">
        <v>-0.2407063197026024</v>
      </c>
    </row>
    <row r="82" ht="20" customHeight="1">
      <c r="A82" s="7" t="inlineStr">
        <is>
          <t>BLK</t>
        </is>
      </c>
      <c r="B82" s="40">
        <f>COUNT(Returns_data!AA2:AA97)</f>
        <v/>
      </c>
      <c r="C82" s="26">
        <f>AVERAGE(Returns_data!AA2:AA97)</f>
        <v/>
      </c>
      <c r="D82" s="26">
        <f>STDEV(Returns_data!AA2:AA97)</f>
        <v/>
      </c>
      <c r="E82" s="26">
        <f>MIN(Returns_data!AA2:AA97)</f>
        <v/>
      </c>
      <c r="F82" s="26">
        <f>MAX(Returns_data!AA2:AA97)</f>
        <v/>
      </c>
      <c r="G82" s="26">
        <f>C82*12</f>
        <v/>
      </c>
      <c r="H82" s="25" t="n">
        <v>0.1170984938900894</v>
      </c>
      <c r="I82" s="26">
        <f>(1+C82)^12-1</f>
        <v/>
      </c>
      <c r="J82" s="37">
        <f>I82-H82</f>
        <v/>
      </c>
      <c r="K82" s="26">
        <f>D82*SQRT(12)</f>
        <v/>
      </c>
      <c r="L82" s="41">
        <f>(G82-0.008835)/K82</f>
        <v/>
      </c>
      <c r="M82" s="25" t="n">
        <v>-0.4015142496607224</v>
      </c>
      <c r="N82" s="39">
        <f>IF(M82&gt;=-0.15,"WITHIN -15%","EXCEEDS -15% (NEEDS HEDGE)")</f>
        <v/>
      </c>
      <c r="O82" s="27">
        <f>SKEW(Returns_data!AA2:AA97)</f>
        <v/>
      </c>
      <c r="P82" s="27">
        <f>KURT(Returns_data!AA2:AA97)</f>
        <v/>
      </c>
      <c r="Q82" s="41" t="n">
        <v>1.108933872159645</v>
      </c>
      <c r="R82" s="26" t="n">
        <v>-0.148673362236771</v>
      </c>
      <c r="S82" s="27" t="n">
        <v>0.2859969343054936</v>
      </c>
      <c r="T82" s="25" t="n">
        <v>0.1753569622126003</v>
      </c>
      <c r="U82" s="26">
        <f>STDEV(Returns_data!AA100:AA135)*SQRT(12)</f>
        <v/>
      </c>
      <c r="V82" s="26" t="n">
        <v>-0.1757731958762885</v>
      </c>
    </row>
    <row r="83" ht="20" customHeight="1">
      <c r="A83" s="4" t="inlineStr">
        <is>
          <t>AXP</t>
        </is>
      </c>
      <c r="B83" s="36">
        <f>COUNT(Returns_data!AB2:AB97)</f>
        <v/>
      </c>
      <c r="C83" s="21">
        <f>AVERAGE(Returns_data!AB2:AB97)</f>
        <v/>
      </c>
      <c r="D83" s="21">
        <f>STDEV(Returns_data!AB2:AB97)</f>
        <v/>
      </c>
      <c r="E83" s="21">
        <f>MIN(Returns_data!AB2:AB97)</f>
        <v/>
      </c>
      <c r="F83" s="21">
        <f>MAX(Returns_data!AB2:AB97)</f>
        <v/>
      </c>
      <c r="G83" s="21">
        <f>C83*12</f>
        <v/>
      </c>
      <c r="H83" s="20" t="n">
        <v>0.07555386520285379</v>
      </c>
      <c r="I83" s="21">
        <f>(1+C83)^12-1</f>
        <v/>
      </c>
      <c r="J83" s="37">
        <f>I83-H83</f>
        <v/>
      </c>
      <c r="K83" s="21">
        <f>D83*SQRT(12)</f>
        <v/>
      </c>
      <c r="L83" s="38">
        <f>(G83-0.008835)/K83</f>
        <v/>
      </c>
      <c r="M83" s="20" t="n">
        <v>-0.4143835616438359</v>
      </c>
      <c r="N83" s="39">
        <f>IF(M83&gt;=-0.15,"WITHIN -15%","EXCEEDS -15% (NEEDS HEDGE)")</f>
        <v/>
      </c>
      <c r="O83" s="22">
        <f>SKEW(Returns_data!AB2:AB97)</f>
        <v/>
      </c>
      <c r="P83" s="22">
        <f>KURT(Returns_data!AB2:AB97)</f>
        <v/>
      </c>
      <c r="Q83" s="38" t="n">
        <v>1.271330951872066</v>
      </c>
      <c r="R83" s="21" t="n">
        <v>-0.1857825968794148</v>
      </c>
      <c r="S83" s="22" t="n">
        <v>0.6042935216370472</v>
      </c>
      <c r="T83" s="20" t="n">
        <v>0.374901533318817</v>
      </c>
      <c r="U83" s="21">
        <f>STDEV(Returns_data!AB100:AB135)*SQRT(12)</f>
        <v/>
      </c>
      <c r="V83" s="21" t="n">
        <v>-0.1579773265868187</v>
      </c>
    </row>
    <row r="84" ht="20" customHeight="1">
      <c r="A84" s="7" t="inlineStr">
        <is>
          <t>KO</t>
        </is>
      </c>
      <c r="B84" s="40">
        <f>COUNT(Returns_data!AC2:AC97)</f>
        <v/>
      </c>
      <c r="C84" s="26">
        <f>AVERAGE(Returns_data!AC2:AC97)</f>
        <v/>
      </c>
      <c r="D84" s="26">
        <f>STDEV(Returns_data!AC2:AC97)</f>
        <v/>
      </c>
      <c r="E84" s="26">
        <f>MIN(Returns_data!AC2:AC97)</f>
        <v/>
      </c>
      <c r="F84" s="26">
        <f>MAX(Returns_data!AC2:AC97)</f>
        <v/>
      </c>
      <c r="G84" s="26">
        <f>C84*12</f>
        <v/>
      </c>
      <c r="H84" s="25" t="n">
        <v>0.0868983752424668</v>
      </c>
      <c r="I84" s="26">
        <f>(1+C84)^12-1</f>
        <v/>
      </c>
      <c r="J84" s="37">
        <f>I84-H84</f>
        <v/>
      </c>
      <c r="K84" s="26">
        <f>D84*SQRT(12)</f>
        <v/>
      </c>
      <c r="L84" s="41">
        <f>(G84-0.008835)/K84</f>
        <v/>
      </c>
      <c r="M84" s="25" t="n">
        <v>-0.2356556008</v>
      </c>
      <c r="N84" s="39">
        <f>IF(M84&gt;=-0.15,"WITHIN -15%","EXCEEDS -15% (NEEDS HEDGE)")</f>
        <v/>
      </c>
      <c r="O84" s="27">
        <f>SKEW(Returns_data!AC2:AC97)</f>
        <v/>
      </c>
      <c r="P84" s="27">
        <f>KURT(Returns_data!AC2:AC97)</f>
        <v/>
      </c>
      <c r="Q84" s="41" t="n">
        <v>0.4715149025345604</v>
      </c>
      <c r="R84" s="26" t="n">
        <v>-0.109796</v>
      </c>
      <c r="S84" s="27" t="n">
        <v>0.3648330264765882</v>
      </c>
      <c r="T84" s="25" t="n">
        <v>0.06346554194435861</v>
      </c>
      <c r="U84" s="26">
        <f>STDEV(Returns_data!AC100:AC135)*SQRT(12)</f>
        <v/>
      </c>
      <c r="V84" s="26" t="n">
        <v>-0.1285441457323342</v>
      </c>
    </row>
    <row r="85" ht="20" customHeight="1">
      <c r="A85" s="4" t="inlineStr">
        <is>
          <t>PEP</t>
        </is>
      </c>
      <c r="B85" s="36">
        <f>COUNT(Returns_data!AD2:AD97)</f>
        <v/>
      </c>
      <c r="C85" s="21">
        <f>AVERAGE(Returns_data!AD2:AD97)</f>
        <v/>
      </c>
      <c r="D85" s="21">
        <f>STDEV(Returns_data!AD2:AD97)</f>
        <v/>
      </c>
      <c r="E85" s="21">
        <f>MIN(Returns_data!AD2:AD97)</f>
        <v/>
      </c>
      <c r="F85" s="21">
        <f>MAX(Returns_data!AD2:AD97)</f>
        <v/>
      </c>
      <c r="G85" s="21">
        <f>C85*12</f>
        <v/>
      </c>
      <c r="H85" s="20" t="n">
        <v>0.1160823274895977</v>
      </c>
      <c r="I85" s="21">
        <f>(1+C85)^12-1</f>
        <v/>
      </c>
      <c r="J85" s="37">
        <f>I85-H85</f>
        <v/>
      </c>
      <c r="K85" s="21">
        <f>D85*SQRT(12)</f>
        <v/>
      </c>
      <c r="L85" s="38">
        <f>(G85-0.008835)/K85</f>
        <v/>
      </c>
      <c r="M85" s="20" t="n">
        <v>-0.1547215231425758</v>
      </c>
      <c r="N85" s="39">
        <f>IF(M85&gt;=-0.15,"WITHIN -15%","EXCEEDS -15% (NEEDS HEDGE)")</f>
        <v/>
      </c>
      <c r="O85" s="22">
        <f>SKEW(Returns_data!AD2:AD97)</f>
        <v/>
      </c>
      <c r="P85" s="22">
        <f>KURT(Returns_data!AD2:AD97)</f>
        <v/>
      </c>
      <c r="Q85" s="38" t="n">
        <v>0.3153107976128699</v>
      </c>
      <c r="R85" s="21" t="n">
        <v>-0.08260307159083854</v>
      </c>
      <c r="S85" s="22" t="n">
        <v>0.24731169042694</v>
      </c>
      <c r="T85" s="20" t="n">
        <v>-0.04277781966713645</v>
      </c>
      <c r="U85" s="21">
        <f>STDEV(Returns_data!AD100:AD135)*SQRT(12)</f>
        <v/>
      </c>
      <c r="V85" s="21" t="n">
        <v>-0.2674046886099927</v>
      </c>
    </row>
    <row r="86" ht="20" customHeight="1">
      <c r="A86" s="7" t="inlineStr">
        <is>
          <t>WMT</t>
        </is>
      </c>
      <c r="B86" s="40">
        <f>COUNT(Returns_data!AE2:AE97)</f>
        <v/>
      </c>
      <c r="C86" s="26">
        <f>AVERAGE(Returns_data!AE2:AE97)</f>
        <v/>
      </c>
      <c r="D86" s="26">
        <f>STDEV(Returns_data!AE2:AE97)</f>
        <v/>
      </c>
      <c r="E86" s="26">
        <f>MIN(Returns_data!AE2:AE97)</f>
        <v/>
      </c>
      <c r="F86" s="26">
        <f>MAX(Returns_data!AE2:AE97)</f>
        <v/>
      </c>
      <c r="G86" s="26">
        <f>C86*12</f>
        <v/>
      </c>
      <c r="H86" s="25" t="n">
        <v>0.08794603303501769</v>
      </c>
      <c r="I86" s="26">
        <f>(1+C86)^12-1</f>
        <v/>
      </c>
      <c r="J86" s="37">
        <f>I86-H86</f>
        <v/>
      </c>
      <c r="K86" s="26">
        <f>D86*SQRT(12)</f>
        <v/>
      </c>
      <c r="L86" s="41">
        <f>(G86-0.008835)/K86</f>
        <v/>
      </c>
      <c r="M86" s="25" t="n">
        <v>-0.3207628955353271</v>
      </c>
      <c r="N86" s="39">
        <f>IF(M86&gt;=-0.15,"WITHIN -15%","EXCEEDS -15% (NEEDS HEDGE)")</f>
        <v/>
      </c>
      <c r="O86" s="27">
        <f>SKEW(Returns_data!AE2:AE97)</f>
        <v/>
      </c>
      <c r="P86" s="27">
        <f>KURT(Returns_data!AE2:AE97)</f>
        <v/>
      </c>
      <c r="Q86" s="41" t="n">
        <v>-0.3522736307279051</v>
      </c>
      <c r="R86" s="26" t="n">
        <v>-0.1197200678598972</v>
      </c>
      <c r="S86" s="27" t="n">
        <v>-0.4221138467605121</v>
      </c>
      <c r="T86" s="25" t="n">
        <v>0.3471431099789206</v>
      </c>
      <c r="U86" s="26">
        <f>STDEV(Returns_data!AE100:AE135)*SQRT(12)</f>
        <v/>
      </c>
      <c r="V86" s="26" t="n">
        <v>-0.1073562744694004</v>
      </c>
    </row>
    <row r="87" ht="20" customHeight="1">
      <c r="A87" s="4" t="inlineStr">
        <is>
          <t>CVX</t>
        </is>
      </c>
      <c r="B87" s="36">
        <f>COUNT(Returns_data!AF2:AF97)</f>
        <v/>
      </c>
      <c r="C87" s="21">
        <f>AVERAGE(Returns_data!AF2:AF97)</f>
        <v/>
      </c>
      <c r="D87" s="21">
        <f>STDEV(Returns_data!AF2:AF97)</f>
        <v/>
      </c>
      <c r="E87" s="21">
        <f>MIN(Returns_data!AF2:AF97)</f>
        <v/>
      </c>
      <c r="F87" s="21">
        <f>MAX(Returns_data!AF2:AF97)</f>
        <v/>
      </c>
      <c r="G87" s="21">
        <f>C87*12</f>
        <v/>
      </c>
      <c r="H87" s="20" t="n">
        <v>0.1074074533502698</v>
      </c>
      <c r="I87" s="21">
        <f>(1+C87)^12-1</f>
        <v/>
      </c>
      <c r="J87" s="37">
        <f>I87-H87</f>
        <v/>
      </c>
      <c r="K87" s="21">
        <f>D87*SQRT(12)</f>
        <v/>
      </c>
      <c r="L87" s="38">
        <f>(G87-0.008835)/K87</f>
        <v/>
      </c>
      <c r="M87" s="20" t="n">
        <v>-0.4066079295154184</v>
      </c>
      <c r="N87" s="39">
        <f>IF(M87&gt;=-0.15,"WITHIN -15%","EXCEEDS -15% (NEEDS HEDGE)")</f>
        <v/>
      </c>
      <c r="O87" s="22">
        <f>SKEW(Returns_data!AF2:AF97)</f>
        <v/>
      </c>
      <c r="P87" s="22">
        <f>KURT(Returns_data!AF2:AF97)</f>
        <v/>
      </c>
      <c r="Q87" s="38" t="n">
        <v>1.195128890778362</v>
      </c>
      <c r="R87" s="21" t="n">
        <v>-0.153303672422081</v>
      </c>
      <c r="S87" s="22" t="n">
        <v>0.6311747956100251</v>
      </c>
      <c r="T87" s="20" t="n">
        <v>-0.01243141029721473</v>
      </c>
      <c r="U87" s="21">
        <f>STDEV(Returns_data!AF100:AF135)*SQRT(12)</f>
        <v/>
      </c>
      <c r="V87" s="21" t="n">
        <v>-0.1866971893679257</v>
      </c>
    </row>
    <row r="88" ht="20" customHeight="1">
      <c r="A88" s="7" t="inlineStr">
        <is>
          <t>COP</t>
        </is>
      </c>
      <c r="B88" s="40">
        <f>COUNT(Returns_data!AG2:AG97)</f>
        <v/>
      </c>
      <c r="C88" s="26">
        <f>AVERAGE(Returns_data!AG2:AG97)</f>
        <v/>
      </c>
      <c r="D88" s="26">
        <f>STDEV(Returns_data!AG2:AG97)</f>
        <v/>
      </c>
      <c r="E88" s="26">
        <f>MIN(Returns_data!AG2:AG97)</f>
        <v/>
      </c>
      <c r="F88" s="26">
        <f>MAX(Returns_data!AG2:AG97)</f>
        <v/>
      </c>
      <c r="G88" s="26">
        <f>C88*12</f>
        <v/>
      </c>
      <c r="H88" s="25" t="n">
        <v>0.1041871541993946</v>
      </c>
      <c r="I88" s="26">
        <f>(1+C88)^12-1</f>
        <v/>
      </c>
      <c r="J88" s="37">
        <f>I88-H88</f>
        <v/>
      </c>
      <c r="K88" s="26">
        <f>D88*SQRT(12)</f>
        <v/>
      </c>
      <c r="L88" s="41">
        <f>(G88-0.008835)/K88</f>
        <v/>
      </c>
      <c r="M88" s="25" t="n">
        <v>-0.6051350897801646</v>
      </c>
      <c r="N88" s="39">
        <f>IF(M88&gt;=-0.15,"WITHIN -15%","EXCEEDS -15% (NEEDS HEDGE)")</f>
        <v/>
      </c>
      <c r="O88" s="27">
        <f>SKEW(Returns_data!AG2:AG97)</f>
        <v/>
      </c>
      <c r="P88" s="27">
        <f>KURT(Returns_data!AG2:AG97)</f>
        <v/>
      </c>
      <c r="Q88" s="41" t="n">
        <v>1.356003638437042</v>
      </c>
      <c r="R88" s="26" t="n">
        <v>-0.2140691246212781</v>
      </c>
      <c r="S88" s="27" t="n">
        <v>0.6759390224205679</v>
      </c>
      <c r="T88" s="25" t="n">
        <v>-0.04528154394727146</v>
      </c>
      <c r="U88" s="26">
        <f>STDEV(Returns_data!AG100:AG135)*SQRT(12)</f>
        <v/>
      </c>
      <c r="V88" s="26" t="n">
        <v>-0.3065742775054924</v>
      </c>
    </row>
    <row r="89" ht="20" customHeight="1">
      <c r="A89" s="4" t="inlineStr">
        <is>
          <t>SLB</t>
        </is>
      </c>
      <c r="B89" s="36">
        <f>COUNT(Returns_data!AH2:AH97)</f>
        <v/>
      </c>
      <c r="C89" s="21">
        <f>AVERAGE(Returns_data!AH2:AH97)</f>
        <v/>
      </c>
      <c r="D89" s="21">
        <f>STDEV(Returns_data!AH2:AH97)</f>
        <v/>
      </c>
      <c r="E89" s="21">
        <f>MIN(Returns_data!AH2:AH97)</f>
        <v/>
      </c>
      <c r="F89" s="21">
        <f>MAX(Returns_data!AH2:AH97)</f>
        <v/>
      </c>
      <c r="G89" s="21">
        <f>C89*12</f>
        <v/>
      </c>
      <c r="H89" s="20" t="n">
        <v>-0.02883971874450264</v>
      </c>
      <c r="I89" s="21">
        <f>(1+C89)^12-1</f>
        <v/>
      </c>
      <c r="J89" s="37">
        <f>I89-H89</f>
        <v/>
      </c>
      <c r="K89" s="21">
        <f>D89*SQRT(12)</f>
        <v/>
      </c>
      <c r="L89" s="38">
        <f>(G89-0.008835)/K89</f>
        <v/>
      </c>
      <c r="M89" s="20" t="n">
        <v>-0.8298398835516739</v>
      </c>
      <c r="N89" s="39">
        <f>IF(M89&gt;=-0.15,"WITHIN -15%","EXCEEDS -15% (NEEDS HEDGE)")</f>
        <v/>
      </c>
      <c r="O89" s="22">
        <f>SKEW(Returns_data!AH2:AH97)</f>
        <v/>
      </c>
      <c r="P89" s="22">
        <f>KURT(Returns_data!AH2:AH97)</f>
        <v/>
      </c>
      <c r="Q89" s="38" t="n">
        <v>1.923918553120021</v>
      </c>
      <c r="R89" s="21" t="n">
        <v>-0.258231758592546</v>
      </c>
      <c r="S89" s="22" t="n">
        <v>0.6978984601639106</v>
      </c>
      <c r="T89" s="20" t="n">
        <v>-0.08187801033978315</v>
      </c>
      <c r="U89" s="21">
        <f>STDEV(Returns_data!AH100:AH135)*SQRT(12)</f>
        <v/>
      </c>
      <c r="V89" s="21" t="n">
        <v>-0.416114790286976</v>
      </c>
    </row>
    <row r="90" ht="20" customHeight="1">
      <c r="A90" s="7" t="inlineStr">
        <is>
          <t>MCD</t>
        </is>
      </c>
      <c r="B90" s="40">
        <f>COUNT(Returns_data!AI2:AI97)</f>
        <v/>
      </c>
      <c r="C90" s="26">
        <f>AVERAGE(Returns_data!AI2:AI97)</f>
        <v/>
      </c>
      <c r="D90" s="26">
        <f>STDEV(Returns_data!AI2:AI97)</f>
        <v/>
      </c>
      <c r="E90" s="26">
        <f>MIN(Returns_data!AI2:AI97)</f>
        <v/>
      </c>
      <c r="F90" s="26">
        <f>MAX(Returns_data!AI2:AI97)</f>
        <v/>
      </c>
      <c r="G90" s="26">
        <f>C90*12</f>
        <v/>
      </c>
      <c r="H90" s="25" t="n">
        <v>0.1679494875736054</v>
      </c>
      <c r="I90" s="26">
        <f>(1+C90)^12-1</f>
        <v/>
      </c>
      <c r="J90" s="37">
        <f>I90-H90</f>
        <v/>
      </c>
      <c r="K90" s="26">
        <f>D90*SQRT(12)</f>
        <v/>
      </c>
      <c r="L90" s="41">
        <f>(G90-0.008835)/K90</f>
        <v/>
      </c>
      <c r="M90" s="25" t="n">
        <v>-0.2317719601903937</v>
      </c>
      <c r="N90" s="39">
        <f>IF(M90&gt;=-0.15,"WITHIN -15%","EXCEEDS -15% (NEEDS HEDGE)")</f>
        <v/>
      </c>
      <c r="O90" s="27">
        <f>SKEW(Returns_data!AI2:AI97)</f>
        <v/>
      </c>
      <c r="P90" s="27">
        <f>KURT(Returns_data!AI2:AI97)</f>
        <v/>
      </c>
      <c r="Q90" s="41" t="n">
        <v>0.6692063432150532</v>
      </c>
      <c r="R90" s="26" t="n">
        <v>-0.09539672966143942</v>
      </c>
      <c r="S90" s="27" t="n">
        <v>0.4866966362267861</v>
      </c>
      <c r="T90" s="25" t="n">
        <v>0.07523315767356742</v>
      </c>
      <c r="U90" s="26">
        <f>STDEV(Returns_data!AI100:AI135)*SQRT(12)</f>
        <v/>
      </c>
      <c r="V90" s="26" t="n">
        <v>-0.1300414489097136</v>
      </c>
    </row>
    <row r="91" ht="20" customHeight="1">
      <c r="A91" s="4" t="inlineStr">
        <is>
          <t>NKE</t>
        </is>
      </c>
      <c r="B91" s="36">
        <f>COUNT(Returns_data!AJ2:AJ97)</f>
        <v/>
      </c>
      <c r="C91" s="21">
        <f>AVERAGE(Returns_data!AJ2:AJ97)</f>
        <v/>
      </c>
      <c r="D91" s="21">
        <f>STDEV(Returns_data!AJ2:AJ97)</f>
        <v/>
      </c>
      <c r="E91" s="21">
        <f>MIN(Returns_data!AJ2:AJ97)</f>
        <v/>
      </c>
      <c r="F91" s="21">
        <f>MAX(Returns_data!AJ2:AJ97)</f>
        <v/>
      </c>
      <c r="G91" s="21">
        <f>C91*12</f>
        <v/>
      </c>
      <c r="H91" s="20" t="n">
        <v>0.1295546330847381</v>
      </c>
      <c r="I91" s="21">
        <f>(1+C91)^12-1</f>
        <v/>
      </c>
      <c r="J91" s="37">
        <f>I91-H91</f>
        <v/>
      </c>
      <c r="K91" s="21">
        <f>D91*SQRT(12)</f>
        <v/>
      </c>
      <c r="L91" s="38">
        <f>(G91-0.008835)/K91</f>
        <v/>
      </c>
      <c r="M91" s="20" t="n">
        <v>-0.5041782729805016</v>
      </c>
      <c r="N91" s="39">
        <f>IF(M91&gt;=-0.15,"WITHIN -15%","EXCEEDS -15% (NEEDS HEDGE)")</f>
        <v/>
      </c>
      <c r="O91" s="22">
        <f>SKEW(Returns_data!AJ2:AJ97)</f>
        <v/>
      </c>
      <c r="P91" s="22">
        <f>KURT(Returns_data!AJ2:AJ97)</f>
        <v/>
      </c>
      <c r="Q91" s="38" t="n">
        <v>0.8749348661455632</v>
      </c>
      <c r="R91" s="21" t="n">
        <v>-0.141384331059757</v>
      </c>
      <c r="S91" s="22" t="n">
        <v>0.2295576788036635</v>
      </c>
      <c r="T91" s="20" t="n">
        <v>-0.1687617271516267</v>
      </c>
      <c r="U91" s="21">
        <f>STDEV(Returns_data!AJ100:AJ135)*SQRT(12)</f>
        <v/>
      </c>
      <c r="V91" s="21" t="n">
        <v>-0.5412414965986394</v>
      </c>
    </row>
    <row r="92" ht="20" customHeight="1">
      <c r="A92" s="7" t="inlineStr">
        <is>
          <t>SBUX</t>
        </is>
      </c>
      <c r="B92" s="40">
        <f>COUNT(Returns_data!AK2:AK97)</f>
        <v/>
      </c>
      <c r="C92" s="26">
        <f>AVERAGE(Returns_data!AK2:AK97)</f>
        <v/>
      </c>
      <c r="D92" s="26">
        <f>STDEV(Returns_data!AK2:AK97)</f>
        <v/>
      </c>
      <c r="E92" s="26">
        <f>MIN(Returns_data!AK2:AK97)</f>
        <v/>
      </c>
      <c r="F92" s="26">
        <f>MAX(Returns_data!AK2:AK97)</f>
        <v/>
      </c>
      <c r="G92" s="26">
        <f>C92*12</f>
        <v/>
      </c>
      <c r="H92" s="25" t="n">
        <v>0.1375149304469829</v>
      </c>
      <c r="I92" s="26">
        <f>(1+C92)^12-1</f>
        <v/>
      </c>
      <c r="J92" s="37">
        <f>I92-H92</f>
        <v/>
      </c>
      <c r="K92" s="26">
        <f>D92*SQRT(12)</f>
        <v/>
      </c>
      <c r="L92" s="41">
        <f>(G92-0.008835)/K92</f>
        <v/>
      </c>
      <c r="M92" s="25" t="n">
        <v>-0.3771407297096053</v>
      </c>
      <c r="N92" s="39">
        <f>IF(M92&gt;=-0.15,"WITHIN -15%","EXCEEDS -15% (NEEDS HEDGE)")</f>
        <v/>
      </c>
      <c r="O92" s="27">
        <f>SKEW(Returns_data!AK2:AK97)</f>
        <v/>
      </c>
      <c r="P92" s="27">
        <f>KURT(Returns_data!AK2:AK97)</f>
        <v/>
      </c>
      <c r="Q92" s="41" t="n">
        <v>0.9173704852902557</v>
      </c>
      <c r="R92" s="26" t="n">
        <v>-0.1467535715886318</v>
      </c>
      <c r="S92" s="27" t="n">
        <v>0.4879167071805826</v>
      </c>
      <c r="T92" s="25" t="n">
        <v>-0.02991466110765839</v>
      </c>
      <c r="U92" s="26">
        <f>STDEV(Returns_data!AK100:AK135)*SQRT(12)</f>
        <v/>
      </c>
      <c r="V92" s="26" t="n">
        <v>-0.3087971274685818</v>
      </c>
    </row>
    <row r="93" ht="20" customHeight="1">
      <c r="A93" s="4" t="inlineStr">
        <is>
          <t>DUK</t>
        </is>
      </c>
      <c r="B93" s="36">
        <f>COUNT(Returns_data!AL2:AL97)</f>
        <v/>
      </c>
      <c r="C93" s="21">
        <f>AVERAGE(Returns_data!AL2:AL97)</f>
        <v/>
      </c>
      <c r="D93" s="21">
        <f>STDEV(Returns_data!AL2:AL97)</f>
        <v/>
      </c>
      <c r="E93" s="21">
        <f>MIN(Returns_data!AL2:AL97)</f>
        <v/>
      </c>
      <c r="F93" s="21">
        <f>MAX(Returns_data!AL2:AL97)</f>
        <v/>
      </c>
      <c r="G93" s="21">
        <f>C93*12</f>
        <v/>
      </c>
      <c r="H93" s="20" t="n">
        <v>0.07050247369920104</v>
      </c>
      <c r="I93" s="21">
        <f>(1+C93)^12-1</f>
        <v/>
      </c>
      <c r="J93" s="37">
        <f>I93-H93</f>
        <v/>
      </c>
      <c r="K93" s="21">
        <f>D93*SQRT(12)</f>
        <v/>
      </c>
      <c r="L93" s="38">
        <f>(G93-0.008835)/K93</f>
        <v/>
      </c>
      <c r="M93" s="20" t="n">
        <v>-0.1880912632164717</v>
      </c>
      <c r="N93" s="39">
        <f>IF(M93&gt;=-0.15,"WITHIN -15%","EXCEEDS -15% (NEEDS HEDGE)")</f>
        <v/>
      </c>
      <c r="O93" s="22">
        <f>SKEW(Returns_data!AL2:AL97)</f>
        <v/>
      </c>
      <c r="P93" s="22">
        <f>KURT(Returns_data!AL2:AL97)</f>
        <v/>
      </c>
      <c r="Q93" s="38" t="n">
        <v>0.8617931541883582</v>
      </c>
      <c r="R93" s="21" t="n">
        <v>-0.09709570326323871</v>
      </c>
      <c r="S93" s="22" t="n">
        <v>0.4993017948476506</v>
      </c>
      <c r="T93" s="20" t="n">
        <v>0.08619070768501635</v>
      </c>
      <c r="U93" s="21">
        <f>STDEV(Returns_data!AL100:AL135)*SQRT(12)</f>
        <v/>
      </c>
      <c r="V93" s="21" t="n">
        <v>-0.1154493436553349</v>
      </c>
    </row>
    <row r="94" ht="20" customHeight="1">
      <c r="A94" s="7" t="inlineStr">
        <is>
          <t>AEP</t>
        </is>
      </c>
      <c r="B94" s="40">
        <f>COUNT(Returns_data!AM2:AM97)</f>
        <v/>
      </c>
      <c r="C94" s="26">
        <f>AVERAGE(Returns_data!AM2:AM97)</f>
        <v/>
      </c>
      <c r="D94" s="26">
        <f>STDEV(Returns_data!AM2:AM97)</f>
        <v/>
      </c>
      <c r="E94" s="26">
        <f>MIN(Returns_data!AM2:AM97)</f>
        <v/>
      </c>
      <c r="F94" s="26">
        <f>MAX(Returns_data!AM2:AM97)</f>
        <v/>
      </c>
      <c r="G94" s="26">
        <f>C94*12</f>
        <v/>
      </c>
      <c r="H94" s="25" t="n">
        <v>0.09467735727260962</v>
      </c>
      <c r="I94" s="26">
        <f>(1+C94)^12-1</f>
        <v/>
      </c>
      <c r="J94" s="37">
        <f>I94-H94</f>
        <v/>
      </c>
      <c r="K94" s="26">
        <f>D94*SQRT(12)</f>
        <v/>
      </c>
      <c r="L94" s="41">
        <f>(G94-0.008835)/K94</f>
        <v/>
      </c>
      <c r="M94" s="25" t="n">
        <v>-0.2514911746804627</v>
      </c>
      <c r="N94" s="39">
        <f>IF(M94&gt;=-0.15,"WITHIN -15%","EXCEEDS -15% (NEEDS HEDGE)")</f>
        <v/>
      </c>
      <c r="O94" s="27">
        <f>SKEW(Returns_data!AM2:AM97)</f>
        <v/>
      </c>
      <c r="P94" s="27">
        <f>KURT(Returns_data!AM2:AM97)</f>
        <v/>
      </c>
      <c r="Q94" s="41" t="n">
        <v>1.003150967631333</v>
      </c>
      <c r="R94" s="26" t="n">
        <v>-0.1115116762835468</v>
      </c>
      <c r="S94" s="27" t="n">
        <v>0.447323444059774</v>
      </c>
      <c r="T94" s="25" t="n">
        <v>0.1082542322728786</v>
      </c>
      <c r="U94" s="26">
        <f>STDEV(Returns_data!AM100:AM135)*SQRT(12)</f>
        <v/>
      </c>
      <c r="V94" s="26" t="n">
        <v>-0.1847602946504044</v>
      </c>
    </row>
    <row r="95" ht="20" customHeight="1">
      <c r="A95" s="4" t="inlineStr">
        <is>
          <t>SO</t>
        </is>
      </c>
      <c r="B95" s="36">
        <f>COUNT(Returns_data!AN2:AN97)</f>
        <v/>
      </c>
      <c r="C95" s="21">
        <f>AVERAGE(Returns_data!AN2:AN97)</f>
        <v/>
      </c>
      <c r="D95" s="21">
        <f>STDEV(Returns_data!AN2:AN97)</f>
        <v/>
      </c>
      <c r="E95" s="21">
        <f>MIN(Returns_data!AN2:AN97)</f>
        <v/>
      </c>
      <c r="F95" s="21">
        <f>MAX(Returns_data!AN2:AN97)</f>
        <v/>
      </c>
      <c r="G95" s="21">
        <f>C95*12</f>
        <v/>
      </c>
      <c r="H95" s="20" t="n">
        <v>0.0958820779551246</v>
      </c>
      <c r="I95" s="21">
        <f>(1+C95)^12-1</f>
        <v/>
      </c>
      <c r="J95" s="37">
        <f>I95-H95</f>
        <v/>
      </c>
      <c r="K95" s="21">
        <f>D95*SQRT(12)</f>
        <v/>
      </c>
      <c r="L95" s="38">
        <f>(G95-0.008835)/K95</f>
        <v/>
      </c>
      <c r="M95" s="20" t="n">
        <v>-0.2480278847917812</v>
      </c>
      <c r="N95" s="39">
        <f>IF(M95&gt;=-0.15,"WITHIN -15%","EXCEEDS -15% (NEEDS HEDGE)")</f>
        <v/>
      </c>
      <c r="O95" s="22">
        <f>SKEW(Returns_data!AN2:AN97)</f>
        <v/>
      </c>
      <c r="P95" s="22">
        <f>KURT(Returns_data!AN2:AN97)</f>
        <v/>
      </c>
      <c r="Q95" s="38" t="n">
        <v>0.8587231759790894</v>
      </c>
      <c r="R95" s="21" t="n">
        <v>-0.1068751750425415</v>
      </c>
      <c r="S95" s="22" t="n">
        <v>0.5131915280170847</v>
      </c>
      <c r="T95" s="20" t="n">
        <v>0.1084684981062851</v>
      </c>
      <c r="U95" s="21">
        <f>STDEV(Returns_data!AN100:AN135)*SQRT(12)</f>
        <v/>
      </c>
      <c r="V95" s="21" t="n">
        <v>-0.1076972315570492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6" customWidth="1" min="4" max="4"/>
    <col width="26" customWidth="1" min="5" max="5"/>
    <col width="2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6" customWidth="1" min="13" max="13"/>
    <col width="28" customWidth="1" min="14" max="14"/>
  </cols>
  <sheetData>
    <row r="1" ht="28" customHeight="1">
      <c r="A1" s="1" t="inlineStr">
        <is>
          <t>C4 – VERIFIED DATA SOURCE REGISTRY, DIRECT SOURCE HYPERLINKS &amp; LIVE FORMULA RECONCILIATION (39 TICKERS + FF3 FACTORS)</t>
        </is>
      </c>
    </row>
    <row r="2" ht="30" customHeight="1">
      <c r="A2" s="3" t="inlineStr">
        <is>
          <t>Ticker</t>
        </is>
      </c>
      <c r="B2" s="3" t="inlineStr">
        <is>
          <t>Company / ETF Name</t>
        </is>
      </c>
      <c r="C2" s="3" t="inlineStr">
        <is>
          <t>Asset Class &amp; GICS Sector</t>
        </is>
      </c>
      <c r="D2" s="3" t="inlineStr">
        <is>
          <t>Primary Price Source (Yahoo Finance API)</t>
        </is>
      </c>
      <c r="E2" s="3" t="inlineStr">
        <is>
          <t>Cross-Check Price Source (Digrin / TotalRealReturns)</t>
        </is>
      </c>
      <c r="F2" s="3" t="inlineStr">
        <is>
          <t>Official Filing Source (SEC EDGAR 10-K / Prospectus)</t>
        </is>
      </c>
      <c r="G2" s="3" t="inlineStr">
        <is>
          <t>Base Price P_0 (Dec 2014)</t>
        </is>
      </c>
      <c r="H2" s="3" t="inlineStr">
        <is>
          <t>Cutoff Price P_96 (Dec 2022)</t>
        </is>
      </c>
      <c r="I2" s="3" t="inlineStr">
        <is>
          <t>OOS End Price P_132 (Dec 2025)</t>
        </is>
      </c>
      <c r="J2" s="3" t="inlineStr">
        <is>
          <t>Verified Raw Prices (N=133)</t>
        </is>
      </c>
      <c r="K2" s="3" t="inlineStr">
        <is>
          <t>Verified In-Sample Returns (N=96)</t>
        </is>
      </c>
      <c r="L2" s="3" t="inlineStr">
        <is>
          <t>Verified OOS Returns (N=36)</t>
        </is>
      </c>
      <c r="M2" s="3" t="inlineStr">
        <is>
          <t>Series SHA-256 Checksum</t>
        </is>
      </c>
      <c r="N2" s="3" t="inlineStr">
        <is>
          <t>Live Source Verification Status</t>
        </is>
      </c>
    </row>
    <row r="3" ht="22" customHeight="1">
      <c r="A3" s="4" t="inlineStr">
        <is>
          <t>HD</t>
        </is>
      </c>
      <c r="B3" s="5" t="inlineStr">
        <is>
          <t>The Home Depot, Inc.</t>
        </is>
      </c>
      <c r="C3" s="5" t="inlineStr">
        <is>
          <t>Stock – Consumer Discretionary</t>
        </is>
      </c>
      <c r="D3" s="66">
        <f>HYPERLINK("https://finance.yahoo.com/quote/HD/history", "Yahoo Finance (HD)")</f>
        <v/>
      </c>
      <c r="E3" s="66">
        <f>HYPERLINK("https://www.digrin.com/stocks/detail/HD/price", "Digrin Adj. Close (HD)")</f>
        <v/>
      </c>
      <c r="F3" s="66">
        <f>HYPERLINK("https://www.sec.gov/edgar/searchedgar/companysearch", "SEC EDGAR 10-K / Prospectus (HD)")</f>
        <v/>
      </c>
      <c r="G3" s="22">
        <f>Raw_Adjusted_Prices!B5</f>
        <v/>
      </c>
      <c r="H3" s="38">
        <f>Raw_Adjusted_Prices!B101</f>
        <v/>
      </c>
      <c r="I3" s="22">
        <f>Raw_Adjusted_Prices!B137</f>
        <v/>
      </c>
      <c r="J3" s="36">
        <f>COUNT(Raw_Adjusted_Prices!B5:B137)</f>
        <v/>
      </c>
      <c r="K3" s="36">
        <f>COUNT(Returns_data!B2:B97)</f>
        <v/>
      </c>
      <c r="L3" s="36">
        <f>COUNT(Returns_data!B100:B135)</f>
        <v/>
      </c>
      <c r="M3" s="5" t="inlineStr">
        <is>
          <t>fca8a983f67cda88c0cbefb4c2a59e41b33a03edd1a6de5c40263097d26f0677</t>
        </is>
      </c>
      <c r="N3" s="33">
        <f>IF(AND(J3=133,K3=96,L3=36),"VERIFIED – PULLED FROM SOURCE","CHECK")</f>
        <v/>
      </c>
    </row>
    <row r="4" ht="22" customHeight="1">
      <c r="A4" s="7" t="inlineStr">
        <is>
          <t>JNJ</t>
        </is>
      </c>
      <c r="B4" s="8" t="inlineStr">
        <is>
          <t>Johnson &amp; Johnson</t>
        </is>
      </c>
      <c r="C4" s="8" t="inlineStr">
        <is>
          <t>Stock – Health Care</t>
        </is>
      </c>
      <c r="D4" s="67">
        <f>HYPERLINK("https://finance.yahoo.com/quote/JNJ/history", "Yahoo Finance (JNJ)")</f>
        <v/>
      </c>
      <c r="E4" s="67">
        <f>HYPERLINK("https://www.digrin.com/stocks/detail/JNJ/price", "Digrin Adj. Close (JNJ)")</f>
        <v/>
      </c>
      <c r="F4" s="67">
        <f>HYPERLINK("https://www.sec.gov/edgar/searchedgar/companysearch", "SEC EDGAR 10-K / Prospectus (JNJ)")</f>
        <v/>
      </c>
      <c r="G4" s="27">
        <f>Raw_Adjusted_Prices!C5</f>
        <v/>
      </c>
      <c r="H4" s="41">
        <f>Raw_Adjusted_Prices!C101</f>
        <v/>
      </c>
      <c r="I4" s="27">
        <f>Raw_Adjusted_Prices!C137</f>
        <v/>
      </c>
      <c r="J4" s="40">
        <f>COUNT(Raw_Adjusted_Prices!C5:C137)</f>
        <v/>
      </c>
      <c r="K4" s="40">
        <f>COUNT(Returns_data!C2:C97)</f>
        <v/>
      </c>
      <c r="L4" s="40">
        <f>COUNT(Returns_data!C100:C135)</f>
        <v/>
      </c>
      <c r="M4" s="8" t="inlineStr">
        <is>
          <t>5a083e23e6b256d9495cba931fb75474f90d62b273037759103d074204e480e0</t>
        </is>
      </c>
      <c r="N4" s="33">
        <f>IF(AND(J4=133,K4=96,L4=36),"VERIFIED – PULLED FROM SOURCE","CHECK")</f>
        <v/>
      </c>
    </row>
    <row r="5" ht="22" customHeight="1">
      <c r="A5" s="4" t="inlineStr">
        <is>
          <t>JPM</t>
        </is>
      </c>
      <c r="B5" s="5" t="inlineStr">
        <is>
          <t>JPMorgan Chase &amp; Co.</t>
        </is>
      </c>
      <c r="C5" s="5" t="inlineStr">
        <is>
          <t>Stock – Financials</t>
        </is>
      </c>
      <c r="D5" s="66">
        <f>HYPERLINK("https://finance.yahoo.com/quote/JPM/history", "Yahoo Finance (JPM)")</f>
        <v/>
      </c>
      <c r="E5" s="66">
        <f>HYPERLINK("https://www.digrin.com/stocks/detail/JPM/price", "Digrin Adj. Close (JPM)")</f>
        <v/>
      </c>
      <c r="F5" s="66">
        <f>HYPERLINK("https://www.sec.gov/edgar/searchedgar/companysearch", "SEC EDGAR 10-K / Prospectus (JPM)")</f>
        <v/>
      </c>
      <c r="G5" s="22">
        <f>Raw_Adjusted_Prices!D5</f>
        <v/>
      </c>
      <c r="H5" s="38">
        <f>Raw_Adjusted_Prices!D101</f>
        <v/>
      </c>
      <c r="I5" s="22">
        <f>Raw_Adjusted_Prices!D137</f>
        <v/>
      </c>
      <c r="J5" s="36">
        <f>COUNT(Raw_Adjusted_Prices!D5:D137)</f>
        <v/>
      </c>
      <c r="K5" s="36">
        <f>COUNT(Returns_data!D2:D97)</f>
        <v/>
      </c>
      <c r="L5" s="36">
        <f>COUNT(Returns_data!D100:D135)</f>
        <v/>
      </c>
      <c r="M5" s="5" t="inlineStr">
        <is>
          <t>eb375dc349357c0c34390a436231e6100d1fd94d55688c954e6e2c3ab7a27074</t>
        </is>
      </c>
      <c r="N5" s="33">
        <f>IF(AND(J5=133,K5=96,L5=36),"VERIFIED – PULLED FROM SOURCE","CHECK")</f>
        <v/>
      </c>
    </row>
    <row r="6" ht="22" customHeight="1">
      <c r="A6" s="7" t="inlineStr">
        <is>
          <t>MSFT</t>
        </is>
      </c>
      <c r="B6" s="8" t="inlineStr">
        <is>
          <t>Microsoft Corp.</t>
        </is>
      </c>
      <c r="C6" s="8" t="inlineStr">
        <is>
          <t>Stock – Information Technology</t>
        </is>
      </c>
      <c r="D6" s="67">
        <f>HYPERLINK("https://finance.yahoo.com/quote/MSFT/history", "Yahoo Finance (MSFT)")</f>
        <v/>
      </c>
      <c r="E6" s="67">
        <f>HYPERLINK("https://www.digrin.com/stocks/detail/MSFT/price", "Digrin Adj. Close (MSFT)")</f>
        <v/>
      </c>
      <c r="F6" s="67">
        <f>HYPERLINK("https://www.sec.gov/edgar/searchedgar/companysearch", "SEC EDGAR 10-K / Prospectus (MSFT)")</f>
        <v/>
      </c>
      <c r="G6" s="27">
        <f>Raw_Adjusted_Prices!E5</f>
        <v/>
      </c>
      <c r="H6" s="41">
        <f>Raw_Adjusted_Prices!E101</f>
        <v/>
      </c>
      <c r="I6" s="27">
        <f>Raw_Adjusted_Prices!E137</f>
        <v/>
      </c>
      <c r="J6" s="40">
        <f>COUNT(Raw_Adjusted_Prices!E5:E137)</f>
        <v/>
      </c>
      <c r="K6" s="40">
        <f>COUNT(Returns_data!E2:E97)</f>
        <v/>
      </c>
      <c r="L6" s="40">
        <f>COUNT(Returns_data!E100:E135)</f>
        <v/>
      </c>
      <c r="M6" s="8" t="inlineStr">
        <is>
          <t>8cf0b7cf49ddc34d41c6c17ae04b834272ec75f165fba130bf4e5e0fc5623238</t>
        </is>
      </c>
      <c r="N6" s="33">
        <f>IF(AND(J6=133,K6=96,L6=36),"VERIFIED – PULLED FROM SOURCE","CHECK")</f>
        <v/>
      </c>
    </row>
    <row r="7" ht="22" customHeight="1">
      <c r="A7" s="4" t="inlineStr">
        <is>
          <t>NEE</t>
        </is>
      </c>
      <c r="B7" s="5" t="inlineStr">
        <is>
          <t>NextEra Energy, Inc.</t>
        </is>
      </c>
      <c r="C7" s="5" t="inlineStr">
        <is>
          <t>Stock – Utilities</t>
        </is>
      </c>
      <c r="D7" s="66">
        <f>HYPERLINK("https://finance.yahoo.com/quote/NEE/history", "Yahoo Finance (NEE)")</f>
        <v/>
      </c>
      <c r="E7" s="66">
        <f>HYPERLINK("https://www.digrin.com/stocks/detail/NEE/price", "Digrin Adj. Close (NEE)")</f>
        <v/>
      </c>
      <c r="F7" s="66">
        <f>HYPERLINK("https://www.sec.gov/edgar/searchedgar/companysearch", "SEC EDGAR 10-K / Prospectus (NEE)")</f>
        <v/>
      </c>
      <c r="G7" s="22">
        <f>Raw_Adjusted_Prices!F5</f>
        <v/>
      </c>
      <c r="H7" s="38">
        <f>Raw_Adjusted_Prices!F101</f>
        <v/>
      </c>
      <c r="I7" s="22">
        <f>Raw_Adjusted_Prices!F137</f>
        <v/>
      </c>
      <c r="J7" s="36">
        <f>COUNT(Raw_Adjusted_Prices!F5:F137)</f>
        <v/>
      </c>
      <c r="K7" s="36">
        <f>COUNT(Returns_data!F2:F97)</f>
        <v/>
      </c>
      <c r="L7" s="36">
        <f>COUNT(Returns_data!F100:F135)</f>
        <v/>
      </c>
      <c r="M7" s="5" t="inlineStr">
        <is>
          <t>6334f6b5ceb233410de37972800585fc0148730b02d236066a2ee9bf3f2aeff3</t>
        </is>
      </c>
      <c r="N7" s="33">
        <f>IF(AND(J7=133,K7=96,L7=36),"VERIFIED – PULLED FROM SOURCE","CHECK")</f>
        <v/>
      </c>
    </row>
    <row r="8" ht="22" customHeight="1">
      <c r="A8" s="7" t="inlineStr">
        <is>
          <t>PG</t>
        </is>
      </c>
      <c r="B8" s="8" t="inlineStr">
        <is>
          <t>Procter &amp; Gamble Co.</t>
        </is>
      </c>
      <c r="C8" s="8" t="inlineStr">
        <is>
          <t>Stock – Consumer Staples</t>
        </is>
      </c>
      <c r="D8" s="67">
        <f>HYPERLINK("https://finance.yahoo.com/quote/PG/history", "Yahoo Finance (PG)")</f>
        <v/>
      </c>
      <c r="E8" s="67">
        <f>HYPERLINK("https://www.digrin.com/stocks/detail/PG/price", "Digrin Adj. Close (PG)")</f>
        <v/>
      </c>
      <c r="F8" s="67">
        <f>HYPERLINK("https://www.sec.gov/edgar/searchedgar/companysearch", "SEC EDGAR 10-K / Prospectus (PG)")</f>
        <v/>
      </c>
      <c r="G8" s="27">
        <f>Raw_Adjusted_Prices!G5</f>
        <v/>
      </c>
      <c r="H8" s="41">
        <f>Raw_Adjusted_Prices!G101</f>
        <v/>
      </c>
      <c r="I8" s="27">
        <f>Raw_Adjusted_Prices!G137</f>
        <v/>
      </c>
      <c r="J8" s="40">
        <f>COUNT(Raw_Adjusted_Prices!G5:G137)</f>
        <v/>
      </c>
      <c r="K8" s="40">
        <f>COUNT(Returns_data!G2:G97)</f>
        <v/>
      </c>
      <c r="L8" s="40">
        <f>COUNT(Returns_data!G100:G135)</f>
        <v/>
      </c>
      <c r="M8" s="8" t="inlineStr">
        <is>
          <t>25c8255e680fa9f6f77d68400ba898b412ab4bea623b2ff6c6aba39440435892</t>
        </is>
      </c>
      <c r="N8" s="33">
        <f>IF(AND(J8=133,K8=96,L8=36),"VERIFIED – PULLED FROM SOURCE","CHECK")</f>
        <v/>
      </c>
    </row>
    <row r="9" ht="22" customHeight="1">
      <c r="A9" s="4" t="inlineStr">
        <is>
          <t>UNH</t>
        </is>
      </c>
      <c r="B9" s="5" t="inlineStr">
        <is>
          <t>UnitedHealth Group Inc.</t>
        </is>
      </c>
      <c r="C9" s="5" t="inlineStr">
        <is>
          <t>Stock – Health Care</t>
        </is>
      </c>
      <c r="D9" s="66">
        <f>HYPERLINK("https://finance.yahoo.com/quote/UNH/history", "Yahoo Finance (UNH)")</f>
        <v/>
      </c>
      <c r="E9" s="66">
        <f>HYPERLINK("https://www.digrin.com/stocks/detail/UNH/price", "Digrin Adj. Close (UNH)")</f>
        <v/>
      </c>
      <c r="F9" s="66">
        <f>HYPERLINK("https://www.sec.gov/edgar/searchedgar/companysearch", "SEC EDGAR 10-K / Prospectus (UNH)")</f>
        <v/>
      </c>
      <c r="G9" s="22">
        <f>Raw_Adjusted_Prices!H5</f>
        <v/>
      </c>
      <c r="H9" s="38">
        <f>Raw_Adjusted_Prices!H101</f>
        <v/>
      </c>
      <c r="I9" s="22">
        <f>Raw_Adjusted_Prices!H137</f>
        <v/>
      </c>
      <c r="J9" s="36">
        <f>COUNT(Raw_Adjusted_Prices!H5:H137)</f>
        <v/>
      </c>
      <c r="K9" s="36">
        <f>COUNT(Returns_data!H2:H97)</f>
        <v/>
      </c>
      <c r="L9" s="36">
        <f>COUNT(Returns_data!H100:H135)</f>
        <v/>
      </c>
      <c r="M9" s="5" t="inlineStr">
        <is>
          <t>de00bd88e636eae60d995575630e1143e4e2139ed33fb7653b7a8cd43fea70f9</t>
        </is>
      </c>
      <c r="N9" s="33">
        <f>IF(AND(J9=133,K9=96,L9=36),"VERIFIED – PULLED FROM SOURCE","CHECK")</f>
        <v/>
      </c>
    </row>
    <row r="10" ht="22" customHeight="1">
      <c r="A10" s="7" t="inlineStr">
        <is>
          <t>USMV</t>
        </is>
      </c>
      <c r="B10" s="8" t="inlineStr">
        <is>
          <t>iShares MSCI USA Min Vol Factor ETF</t>
        </is>
      </c>
      <c r="C10" s="8" t="inlineStr">
        <is>
          <t>ETF – US Equity - Low Volatility Factor</t>
        </is>
      </c>
      <c r="D10" s="67">
        <f>HYPERLINK("https://finance.yahoo.com/quote/USMV/history", "Yahoo Finance (USMV)")</f>
        <v/>
      </c>
      <c r="E10" s="67">
        <f>HYPERLINK("https://totalrealreturns.com/n/USMV", "Digrin Adj. Close (USMV)")</f>
        <v/>
      </c>
      <c r="F10" s="67">
        <f>HYPERLINK("https://www.sec.gov/edgar/searchedgar/companysearch", "SEC EDGAR 10-K / Prospectus (USMV)")</f>
        <v/>
      </c>
      <c r="G10" s="27">
        <f>Raw_Adjusted_Prices!I5</f>
        <v/>
      </c>
      <c r="H10" s="41">
        <f>Raw_Adjusted_Prices!I101</f>
        <v/>
      </c>
      <c r="I10" s="27">
        <f>Raw_Adjusted_Prices!I137</f>
        <v/>
      </c>
      <c r="J10" s="40">
        <f>COUNT(Raw_Adjusted_Prices!I5:I137)</f>
        <v/>
      </c>
      <c r="K10" s="40">
        <f>COUNT(Returns_data!I2:I97)</f>
        <v/>
      </c>
      <c r="L10" s="40">
        <f>COUNT(Returns_data!I100:I135)</f>
        <v/>
      </c>
      <c r="M10" s="8" t="inlineStr">
        <is>
          <t>47904267c1c7dc5f1a2f3499f65ab9831c3964482d20755062c28927bb390133</t>
        </is>
      </c>
      <c r="N10" s="33">
        <f>IF(AND(J10=133,K10=96,L10=36),"VERIFIED – PULLED FROM SOURCE","CHECK")</f>
        <v/>
      </c>
    </row>
    <row r="11" ht="22" customHeight="1">
      <c r="A11" s="4" t="inlineStr">
        <is>
          <t>VTI</t>
        </is>
      </c>
      <c r="B11" s="5" t="inlineStr">
        <is>
          <t>Vanguard Total Stock Market ETF</t>
        </is>
      </c>
      <c r="C11" s="5" t="inlineStr">
        <is>
          <t>ETF – Broad US Market (Total Cap)</t>
        </is>
      </c>
      <c r="D11" s="66">
        <f>HYPERLINK("https://finance.yahoo.com/quote/VTI/history", "Yahoo Finance (VTI)")</f>
        <v/>
      </c>
      <c r="E11" s="66">
        <f>HYPERLINK("https://www.digrin.com/stocks/detail/VTI/price", "Digrin Adj. Close (VTI)")</f>
        <v/>
      </c>
      <c r="F11" s="66">
        <f>HYPERLINK("https://www.sec.gov/edgar/searchedgar/companysearch", "SEC EDGAR 10-K / Prospectus (VTI)")</f>
        <v/>
      </c>
      <c r="G11" s="22">
        <f>Raw_Adjusted_Prices!J5</f>
        <v/>
      </c>
      <c r="H11" s="38">
        <f>Raw_Adjusted_Prices!J101</f>
        <v/>
      </c>
      <c r="I11" s="22">
        <f>Raw_Adjusted_Prices!J137</f>
        <v/>
      </c>
      <c r="J11" s="36">
        <f>COUNT(Raw_Adjusted_Prices!J5:J137)</f>
        <v/>
      </c>
      <c r="K11" s="36">
        <f>COUNT(Returns_data!J2:J97)</f>
        <v/>
      </c>
      <c r="L11" s="36">
        <f>COUNT(Returns_data!J100:J135)</f>
        <v/>
      </c>
      <c r="M11" s="5" t="inlineStr">
        <is>
          <t>93d9ba91399a5bb10329be58440d2affe453deb1336ca8388b5417ebadce56b5</t>
        </is>
      </c>
      <c r="N11" s="33">
        <f>IF(AND(J11=133,K11=96,L11=36),"VERIFIED – PULLED FROM SOURCE","CHECK")</f>
        <v/>
      </c>
    </row>
    <row r="12" ht="22" customHeight="1">
      <c r="A12" s="7" t="inlineStr">
        <is>
          <t>XOM</t>
        </is>
      </c>
      <c r="B12" s="8" t="inlineStr">
        <is>
          <t>Exxon Mobil Corp.</t>
        </is>
      </c>
      <c r="C12" s="8" t="inlineStr">
        <is>
          <t>Stock – Energy</t>
        </is>
      </c>
      <c r="D12" s="67">
        <f>HYPERLINK("https://finance.yahoo.com/quote/XOM/history", "Yahoo Finance (XOM)")</f>
        <v/>
      </c>
      <c r="E12" s="67">
        <f>HYPERLINK("https://www.digrin.com/stocks/detail/XOM/price", "Digrin Adj. Close (XOM)")</f>
        <v/>
      </c>
      <c r="F12" s="67">
        <f>HYPERLINK("https://www.sec.gov/edgar/searchedgar/companysearch", "SEC EDGAR 10-K / Prospectus (XOM)")</f>
        <v/>
      </c>
      <c r="G12" s="27">
        <f>Raw_Adjusted_Prices!K5</f>
        <v/>
      </c>
      <c r="H12" s="41">
        <f>Raw_Adjusted_Prices!K101</f>
        <v/>
      </c>
      <c r="I12" s="27">
        <f>Raw_Adjusted_Prices!K137</f>
        <v/>
      </c>
      <c r="J12" s="40">
        <f>COUNT(Raw_Adjusted_Prices!K5:K137)</f>
        <v/>
      </c>
      <c r="K12" s="40">
        <f>COUNT(Returns_data!K2:K97)</f>
        <v/>
      </c>
      <c r="L12" s="40">
        <f>COUNT(Returns_data!K100:K135)</f>
        <v/>
      </c>
      <c r="M12" s="8" t="inlineStr">
        <is>
          <t>84eaae17b21442c07989d1c462b2a7ce159574dbd24d4a265f5455839f1656a6</t>
        </is>
      </c>
      <c r="N12" s="33">
        <f>IF(AND(J12=133,K12=96,L12=36),"VERIFIED – PULLED FROM SOURCE","CHECK")</f>
        <v/>
      </c>
    </row>
    <row r="13" ht="22" customHeight="1">
      <c r="A13" s="4" t="inlineStr">
        <is>
          <t>VTV</t>
        </is>
      </c>
      <c r="B13" s="5" t="inlineStr">
        <is>
          <t>Vanguard Value ETF</t>
        </is>
      </c>
      <c r="C13" s="5" t="inlineStr">
        <is>
          <t>ETF – US Equity - Large Cap Value</t>
        </is>
      </c>
      <c r="D13" s="66">
        <f>HYPERLINK("https://finance.yahoo.com/quote/VTV/history", "Yahoo Finance (VTV)")</f>
        <v/>
      </c>
      <c r="E13" s="66">
        <f>HYPERLINK("https://www.digrin.com/stocks/detail/VTV/price", "Digrin Adj. Close (VTV)")</f>
        <v/>
      </c>
      <c r="F13" s="66">
        <f>HYPERLINK("https://www.sec.gov/edgar/searchedgar/companysearch", "SEC EDGAR 10-K / Prospectus (VTV)")</f>
        <v/>
      </c>
      <c r="G13" s="22">
        <f>Raw_Adjusted_Prices!L5</f>
        <v/>
      </c>
      <c r="H13" s="38">
        <f>Raw_Adjusted_Prices!L101</f>
        <v/>
      </c>
      <c r="I13" s="22">
        <f>Raw_Adjusted_Prices!L137</f>
        <v/>
      </c>
      <c r="J13" s="36">
        <f>COUNT(Raw_Adjusted_Prices!L5:L137)</f>
        <v/>
      </c>
      <c r="K13" s="36">
        <f>COUNT(Returns_data!L2:L97)</f>
        <v/>
      </c>
      <c r="L13" s="36">
        <f>COUNT(Returns_data!L100:L135)</f>
        <v/>
      </c>
      <c r="M13" s="5" t="inlineStr">
        <is>
          <t>97fc9729d8962966933dd71ed7ead76d8ec24da39a504e0310d5bd25846c77af</t>
        </is>
      </c>
      <c r="N13" s="33">
        <f>IF(AND(J13=133,K13=96,L13=36),"VERIFIED – PULLED FROM SOURCE","CHECK")</f>
        <v/>
      </c>
    </row>
    <row r="14" ht="22" customHeight="1">
      <c r="A14" s="7" t="inlineStr">
        <is>
          <t>SCHD</t>
        </is>
      </c>
      <c r="B14" s="8" t="inlineStr">
        <is>
          <t>Schwab U.S. Dividend Equity ETF</t>
        </is>
      </c>
      <c r="C14" s="8" t="inlineStr">
        <is>
          <t>ETF – US Equity - Quality Dividend Growth</t>
        </is>
      </c>
      <c r="D14" s="67">
        <f>HYPERLINK("https://finance.yahoo.com/quote/SCHD/history", "Yahoo Finance (SCHD)")</f>
        <v/>
      </c>
      <c r="E14" s="67">
        <f>HYPERLINK("https://www.digrin.com/stocks/detail/SCHD/price", "Digrin Adj. Close (SCHD)")</f>
        <v/>
      </c>
      <c r="F14" s="67">
        <f>HYPERLINK("https://www.sec.gov/edgar/searchedgar/companysearch", "SEC EDGAR 10-K / Prospectus (SCHD)")</f>
        <v/>
      </c>
      <c r="G14" s="27">
        <f>Raw_Adjusted_Prices!M5</f>
        <v/>
      </c>
      <c r="H14" s="41">
        <f>Raw_Adjusted_Prices!M101</f>
        <v/>
      </c>
      <c r="I14" s="27">
        <f>Raw_Adjusted_Prices!M137</f>
        <v/>
      </c>
      <c r="J14" s="40">
        <f>COUNT(Raw_Adjusted_Prices!M5:M137)</f>
        <v/>
      </c>
      <c r="K14" s="40">
        <f>COUNT(Returns_data!M2:M97)</f>
        <v/>
      </c>
      <c r="L14" s="40">
        <f>COUNT(Returns_data!M100:M135)</f>
        <v/>
      </c>
      <c r="M14" s="8" t="inlineStr">
        <is>
          <t>09f3d156703517f5fb3d753aeeee0efd89b1b6badfe0ca689a24f428772b4fc9</t>
        </is>
      </c>
      <c r="N14" s="33">
        <f>IF(AND(J14=133,K14=96,L14=36),"VERIFIED – PULLED FROM SOURCE","CHECK")</f>
        <v/>
      </c>
    </row>
    <row r="15" ht="22" customHeight="1">
      <c r="A15" s="4" t="inlineStr">
        <is>
          <t>RSP</t>
        </is>
      </c>
      <c r="B15" s="5" t="inlineStr">
        <is>
          <t>Invesco S&amp;P 500 Equal Weight ETF</t>
        </is>
      </c>
      <c r="C15" s="5" t="inlineStr">
        <is>
          <t>ETF – US Equity - Equal-Weight De-Concentration</t>
        </is>
      </c>
      <c r="D15" s="66">
        <f>HYPERLINK("https://finance.yahoo.com/quote/RSP/history", "Yahoo Finance (RSP)")</f>
        <v/>
      </c>
      <c r="E15" s="66">
        <f>HYPERLINK("https://www.digrin.com/stocks/detail/RSP/price", "Digrin Adj. Close (RSP)")</f>
        <v/>
      </c>
      <c r="F15" s="66">
        <f>HYPERLINK("https://www.sec.gov/edgar/searchedgar/companysearch", "SEC EDGAR 10-K / Prospectus (RSP)")</f>
        <v/>
      </c>
      <c r="G15" s="22">
        <f>Raw_Adjusted_Prices!N5</f>
        <v/>
      </c>
      <c r="H15" s="38">
        <f>Raw_Adjusted_Prices!N101</f>
        <v/>
      </c>
      <c r="I15" s="22">
        <f>Raw_Adjusted_Prices!N137</f>
        <v/>
      </c>
      <c r="J15" s="36">
        <f>COUNT(Raw_Adjusted_Prices!N5:N137)</f>
        <v/>
      </c>
      <c r="K15" s="36">
        <f>COUNT(Returns_data!N2:N97)</f>
        <v/>
      </c>
      <c r="L15" s="36">
        <f>COUNT(Returns_data!N100:N135)</f>
        <v/>
      </c>
      <c r="M15" s="5" t="inlineStr">
        <is>
          <t>25ae730fdad1f1539203fd05d5062c819f4f8833a9f5562b035484795fe2ff0f</t>
        </is>
      </c>
      <c r="N15" s="33">
        <f>IF(AND(J15=133,K15=96,L15=36),"VERIFIED – PULLED FROM SOURCE","CHECK")</f>
        <v/>
      </c>
    </row>
    <row r="16" ht="22" customHeight="1">
      <c r="A16" s="7" t="inlineStr">
        <is>
          <t>QQQ</t>
        </is>
      </c>
      <c r="B16" s="8" t="inlineStr">
        <is>
          <t>Invesco QQQ Trust</t>
        </is>
      </c>
      <c r="C16" s="8" t="inlineStr">
        <is>
          <t>ETF – US Equity - Secular Innovation &amp; Tech Growth</t>
        </is>
      </c>
      <c r="D16" s="67">
        <f>HYPERLINK("https://finance.yahoo.com/quote/QQQ/history", "Yahoo Finance (QQQ)")</f>
        <v/>
      </c>
      <c r="E16" s="67">
        <f>HYPERLINK("https://www.digrin.com/stocks/detail/QQQ/price", "Digrin Adj. Close (QQQ)")</f>
        <v/>
      </c>
      <c r="F16" s="67">
        <f>HYPERLINK("https://www.sec.gov/edgar/searchedgar/companysearch", "SEC EDGAR 10-K / Prospectus (QQQ)")</f>
        <v/>
      </c>
      <c r="G16" s="27">
        <f>Raw_Adjusted_Prices!O5</f>
        <v/>
      </c>
      <c r="H16" s="41">
        <f>Raw_Adjusted_Prices!O101</f>
        <v/>
      </c>
      <c r="I16" s="27">
        <f>Raw_Adjusted_Prices!O137</f>
        <v/>
      </c>
      <c r="J16" s="40">
        <f>COUNT(Raw_Adjusted_Prices!O5:O137)</f>
        <v/>
      </c>
      <c r="K16" s="40">
        <f>COUNT(Returns_data!O2:O97)</f>
        <v/>
      </c>
      <c r="L16" s="40">
        <f>COUNT(Returns_data!O100:O135)</f>
        <v/>
      </c>
      <c r="M16" s="8" t="inlineStr">
        <is>
          <t>eaf3a8e8ac5367819e5e6780da01a8bf59f0f1b7d7c6c05995274fb318d3a340</t>
        </is>
      </c>
      <c r="N16" s="33">
        <f>IF(AND(J16=133,K16=96,L16=36),"VERIFIED – PULLED FROM SOURCE","CHECK")</f>
        <v/>
      </c>
    </row>
    <row r="17" ht="22" customHeight="1">
      <c r="A17" s="4" t="inlineStr">
        <is>
          <t>VUG</t>
        </is>
      </c>
      <c r="B17" s="5" t="inlineStr">
        <is>
          <t>Vanguard Growth ETF</t>
        </is>
      </c>
      <c r="C17" s="5" t="inlineStr">
        <is>
          <t>ETF – US Equity - Low-Cost Large Cap Growth</t>
        </is>
      </c>
      <c r="D17" s="66">
        <f>HYPERLINK("https://finance.yahoo.com/quote/VUG/history", "Yahoo Finance (VUG)")</f>
        <v/>
      </c>
      <c r="E17" s="66">
        <f>HYPERLINK("https://www.digrin.com/stocks/detail/VUG/price", "Digrin Adj. Close (VUG)")</f>
        <v/>
      </c>
      <c r="F17" s="66">
        <f>HYPERLINK("https://www.sec.gov/edgar/searchedgar/companysearch", "SEC EDGAR 10-K / Prospectus (VUG)")</f>
        <v/>
      </c>
      <c r="G17" s="22">
        <f>Raw_Adjusted_Prices!P5</f>
        <v/>
      </c>
      <c r="H17" s="38">
        <f>Raw_Adjusted_Prices!P101</f>
        <v/>
      </c>
      <c r="I17" s="22">
        <f>Raw_Adjusted_Prices!P137</f>
        <v/>
      </c>
      <c r="J17" s="36">
        <f>COUNT(Raw_Adjusted_Prices!P5:P137)</f>
        <v/>
      </c>
      <c r="K17" s="36">
        <f>COUNT(Returns_data!P2:P97)</f>
        <v/>
      </c>
      <c r="L17" s="36">
        <f>COUNT(Returns_data!P100:P135)</f>
        <v/>
      </c>
      <c r="M17" s="5" t="inlineStr">
        <is>
          <t>9c505d0c5e6ba5efa4a51835ccb26cd9cffb000cfd732bd1132a9af9846cf39c</t>
        </is>
      </c>
      <c r="N17" s="33">
        <f>IF(AND(J17=133,K17=96,L17=36),"VERIFIED – PULLED FROM SOURCE","CHECK")</f>
        <v/>
      </c>
    </row>
    <row r="18" ht="22" customHeight="1">
      <c r="A18" s="7" t="inlineStr">
        <is>
          <t>SPY</t>
        </is>
      </c>
      <c r="B18" s="8" t="inlineStr">
        <is>
          <t>SPDR S&amp;P 500 ETF Trust</t>
        </is>
      </c>
      <c r="C18" s="8" t="inlineStr">
        <is>
          <t>ETF – Broad US Large-Cap Benchmark</t>
        </is>
      </c>
      <c r="D18" s="67">
        <f>HYPERLINK("https://finance.yahoo.com/quote/SPY/history", "Yahoo Finance (SPY)")</f>
        <v/>
      </c>
      <c r="E18" s="67">
        <f>HYPERLINK("https://www.digrin.com/stocks/detail/SPY/price", "Digrin Adj. Close (SPY)")</f>
        <v/>
      </c>
      <c r="F18" s="67">
        <f>HYPERLINK("https://www.sec.gov/edgar/searchedgar/companysearch", "SEC EDGAR 10-K / Prospectus (SPY)")</f>
        <v/>
      </c>
      <c r="G18" s="27">
        <f>Raw_Adjusted_Prices!Q5</f>
        <v/>
      </c>
      <c r="H18" s="41">
        <f>Raw_Adjusted_Prices!Q101</f>
        <v/>
      </c>
      <c r="I18" s="27">
        <f>Raw_Adjusted_Prices!Q137</f>
        <v/>
      </c>
      <c r="J18" s="40">
        <f>COUNT(Raw_Adjusted_Prices!Q5:Q137)</f>
        <v/>
      </c>
      <c r="K18" s="40">
        <f>COUNT(Returns_data!Q2:Q97)</f>
        <v/>
      </c>
      <c r="L18" s="40">
        <f>COUNT(Returns_data!Q100:Q135)</f>
        <v/>
      </c>
      <c r="M18" s="8" t="inlineStr">
        <is>
          <t>31727baf6ef12965b1dcdc10e965bdd2710036cf10e9f45e1896000d3fdd20f0</t>
        </is>
      </c>
      <c r="N18" s="33">
        <f>IF(AND(J18=133,K18=96,L18=36),"VERIFIED – PULLED FROM SOURCE","CHECK")</f>
        <v/>
      </c>
    </row>
    <row r="19" ht="22" customHeight="1">
      <c r="A19" s="4" t="inlineStr">
        <is>
          <t>AAPL</t>
        </is>
      </c>
      <c r="B19" s="5" t="inlineStr">
        <is>
          <t>Apple Inc.</t>
        </is>
      </c>
      <c r="C19" s="5" t="inlineStr">
        <is>
          <t>Stock – Information Technology</t>
        </is>
      </c>
      <c r="D19" s="66">
        <f>HYPERLINK("https://finance.yahoo.com/quote/AAPL/history", "Yahoo Finance (AAPL)")</f>
        <v/>
      </c>
      <c r="E19" s="66">
        <f>HYPERLINK("https://www.digrin.com/stocks/detail/AAPL/price", "Digrin Adj. Close (AAPL)")</f>
        <v/>
      </c>
      <c r="F19" s="66">
        <f>HYPERLINK("https://www.sec.gov/edgar/searchedgar/companysearch", "SEC EDGAR 10-K / Prospectus (AAPL)")</f>
        <v/>
      </c>
      <c r="G19" s="22">
        <f>Raw_Adjusted_Prices!R5</f>
        <v/>
      </c>
      <c r="H19" s="38">
        <f>Raw_Adjusted_Prices!R101</f>
        <v/>
      </c>
      <c r="I19" s="22">
        <f>Raw_Adjusted_Prices!R137</f>
        <v/>
      </c>
      <c r="J19" s="36">
        <f>COUNT(Raw_Adjusted_Prices!R5:R137)</f>
        <v/>
      </c>
      <c r="K19" s="36">
        <f>COUNT(Returns_data!R2:R97)</f>
        <v/>
      </c>
      <c r="L19" s="36">
        <f>COUNT(Returns_data!R100:R135)</f>
        <v/>
      </c>
      <c r="M19" s="5" t="inlineStr">
        <is>
          <t>7c07339d2b8d6c765b20089abdce0396669c7a356028f20d08957a7c465ebf53</t>
        </is>
      </c>
      <c r="N19" s="33">
        <f>IF(AND(J19=133,K19=96,L19=36),"VERIFIED – PULLED FROM SOURCE","CHECK")</f>
        <v/>
      </c>
    </row>
    <row r="20" ht="22" customHeight="1">
      <c r="A20" s="7" t="inlineStr">
        <is>
          <t>CSCO</t>
        </is>
      </c>
      <c r="B20" s="8" t="inlineStr">
        <is>
          <t>Cisco Systems, Inc.</t>
        </is>
      </c>
      <c r="C20" s="8" t="inlineStr">
        <is>
          <t>Stock – Information Technology</t>
        </is>
      </c>
      <c r="D20" s="67">
        <f>HYPERLINK("https://finance.yahoo.com/quote/CSCO/history", "Yahoo Finance (CSCO)")</f>
        <v/>
      </c>
      <c r="E20" s="67">
        <f>HYPERLINK("https://www.digrin.com/stocks/detail/CSCO/price", "Digrin Adj. Close (CSCO)")</f>
        <v/>
      </c>
      <c r="F20" s="67">
        <f>HYPERLINK("https://www.sec.gov/edgar/searchedgar/companysearch", "SEC EDGAR 10-K / Prospectus (CSCO)")</f>
        <v/>
      </c>
      <c r="G20" s="27">
        <f>Raw_Adjusted_Prices!S5</f>
        <v/>
      </c>
      <c r="H20" s="41">
        <f>Raw_Adjusted_Prices!S101</f>
        <v/>
      </c>
      <c r="I20" s="27">
        <f>Raw_Adjusted_Prices!S137</f>
        <v/>
      </c>
      <c r="J20" s="40">
        <f>COUNT(Raw_Adjusted_Prices!S5:S137)</f>
        <v/>
      </c>
      <c r="K20" s="40">
        <f>COUNT(Returns_data!S2:S97)</f>
        <v/>
      </c>
      <c r="L20" s="40">
        <f>COUNT(Returns_data!S100:S135)</f>
        <v/>
      </c>
      <c r="M20" s="8" t="inlineStr">
        <is>
          <t>bec30dc1dee9862b885bc4c514ce061d8626e3f8e7501c9dd498312658861558</t>
        </is>
      </c>
      <c r="N20" s="33">
        <f>IF(AND(J20=133,K20=96,L20=36),"VERIFIED – PULLED FROM SOURCE","CHECK")</f>
        <v/>
      </c>
    </row>
    <row r="21" ht="22" customHeight="1">
      <c r="A21" s="4" t="inlineStr">
        <is>
          <t>TXN</t>
        </is>
      </c>
      <c r="B21" s="5" t="inlineStr">
        <is>
          <t>Texas Instruments Inc.</t>
        </is>
      </c>
      <c r="C21" s="5" t="inlineStr">
        <is>
          <t>Stock – Information Technology</t>
        </is>
      </c>
      <c r="D21" s="66">
        <f>HYPERLINK("https://finance.yahoo.com/quote/TXN/history", "Yahoo Finance (TXN)")</f>
        <v/>
      </c>
      <c r="E21" s="66">
        <f>HYPERLINK("https://www.digrin.com/stocks/detail/TXN/price", "Digrin Adj. Close (TXN)")</f>
        <v/>
      </c>
      <c r="F21" s="66">
        <f>HYPERLINK("https://www.sec.gov/edgar/searchedgar/companysearch", "SEC EDGAR 10-K / Prospectus (TXN)")</f>
        <v/>
      </c>
      <c r="G21" s="22">
        <f>Raw_Adjusted_Prices!T5</f>
        <v/>
      </c>
      <c r="H21" s="38">
        <f>Raw_Adjusted_Prices!T101</f>
        <v/>
      </c>
      <c r="I21" s="22">
        <f>Raw_Adjusted_Prices!T137</f>
        <v/>
      </c>
      <c r="J21" s="36">
        <f>COUNT(Raw_Adjusted_Prices!T5:T137)</f>
        <v/>
      </c>
      <c r="K21" s="36">
        <f>COUNT(Returns_data!T2:T97)</f>
        <v/>
      </c>
      <c r="L21" s="36">
        <f>COUNT(Returns_data!T100:T135)</f>
        <v/>
      </c>
      <c r="M21" s="5" t="inlineStr">
        <is>
          <t>2055ab386cf2a6ba82a924d39a9d64c17afbdda91693a0e8e85b773fc4c63a49</t>
        </is>
      </c>
      <c r="N21" s="33">
        <f>IF(AND(J21=133,K21=96,L21=36),"VERIFIED – PULLED FROM SOURCE","CHECK")</f>
        <v/>
      </c>
    </row>
    <row r="22" ht="22" customHeight="1">
      <c r="A22" s="7" t="inlineStr">
        <is>
          <t>NVDA</t>
        </is>
      </c>
      <c r="B22" s="8" t="inlineStr">
        <is>
          <t>NVIDIA Corp.</t>
        </is>
      </c>
      <c r="C22" s="8" t="inlineStr">
        <is>
          <t>Stock – Information Technology</t>
        </is>
      </c>
      <c r="D22" s="67">
        <f>HYPERLINK("https://finance.yahoo.com/quote/NVDA/history", "Yahoo Finance (NVDA)")</f>
        <v/>
      </c>
      <c r="E22" s="67">
        <f>HYPERLINK("https://www.digrin.com/stocks/detail/NVDA/price", "Digrin Adj. Close (NVDA)")</f>
        <v/>
      </c>
      <c r="F22" s="67">
        <f>HYPERLINK("https://www.sec.gov/edgar/searchedgar/companysearch", "SEC EDGAR 10-K / Prospectus (NVDA)")</f>
        <v/>
      </c>
      <c r="G22" s="27">
        <f>Raw_Adjusted_Prices!U5</f>
        <v/>
      </c>
      <c r="H22" s="41">
        <f>Raw_Adjusted_Prices!U101</f>
        <v/>
      </c>
      <c r="I22" s="27">
        <f>Raw_Adjusted_Prices!U137</f>
        <v/>
      </c>
      <c r="J22" s="40">
        <f>COUNT(Raw_Adjusted_Prices!U5:U137)</f>
        <v/>
      </c>
      <c r="K22" s="40">
        <f>COUNT(Returns_data!U2:U97)</f>
        <v/>
      </c>
      <c r="L22" s="40">
        <f>COUNT(Returns_data!U100:U135)</f>
        <v/>
      </c>
      <c r="M22" s="8" t="inlineStr">
        <is>
          <t>1542d5f776e1244f5b94159f8836ad0383d34a2e10caa218b8fc84fe7f5ecac7</t>
        </is>
      </c>
      <c r="N22" s="33">
        <f>IF(AND(J22=133,K22=96,L22=36),"VERIFIED – PULLED FROM SOURCE","CHECK")</f>
        <v/>
      </c>
    </row>
    <row r="23" ht="22" customHeight="1">
      <c r="A23" s="4" t="inlineStr">
        <is>
          <t>PFE</t>
        </is>
      </c>
      <c r="B23" s="5" t="inlineStr">
        <is>
          <t>Pfizer Inc.</t>
        </is>
      </c>
      <c r="C23" s="5" t="inlineStr">
        <is>
          <t>Stock – Health Care</t>
        </is>
      </c>
      <c r="D23" s="66">
        <f>HYPERLINK("https://finance.yahoo.com/quote/PFE/history", "Yahoo Finance (PFE)")</f>
        <v/>
      </c>
      <c r="E23" s="66">
        <f>HYPERLINK("https://www.digrin.com/stocks/detail/PFE/price", "Digrin Adj. Close (PFE)")</f>
        <v/>
      </c>
      <c r="F23" s="66">
        <f>HYPERLINK("https://www.sec.gov/edgar/searchedgar/companysearch", "SEC EDGAR 10-K / Prospectus (PFE)")</f>
        <v/>
      </c>
      <c r="G23" s="22">
        <f>Raw_Adjusted_Prices!V5</f>
        <v/>
      </c>
      <c r="H23" s="38">
        <f>Raw_Adjusted_Prices!V101</f>
        <v/>
      </c>
      <c r="I23" s="22">
        <f>Raw_Adjusted_Prices!V137</f>
        <v/>
      </c>
      <c r="J23" s="36">
        <f>COUNT(Raw_Adjusted_Prices!V5:V137)</f>
        <v/>
      </c>
      <c r="K23" s="36">
        <f>COUNT(Returns_data!V2:V97)</f>
        <v/>
      </c>
      <c r="L23" s="36">
        <f>COUNT(Returns_data!V100:V135)</f>
        <v/>
      </c>
      <c r="M23" s="5" t="inlineStr">
        <is>
          <t>9d0aa1ce5d2da8423d8d514aba321c194bb977299d9b525c78e816eb50ba0a39</t>
        </is>
      </c>
      <c r="N23" s="33">
        <f>IF(AND(J23=133,K23=96,L23=36),"VERIFIED – PULLED FROM SOURCE","CHECK")</f>
        <v/>
      </c>
    </row>
    <row r="24" ht="22" customHeight="1">
      <c r="A24" s="7" t="inlineStr">
        <is>
          <t>ABT</t>
        </is>
      </c>
      <c r="B24" s="8" t="inlineStr">
        <is>
          <t>Abbott Laboratories</t>
        </is>
      </c>
      <c r="C24" s="8" t="inlineStr">
        <is>
          <t>Stock – Health Care</t>
        </is>
      </c>
      <c r="D24" s="67">
        <f>HYPERLINK("https://finance.yahoo.com/quote/ABT/history", "Yahoo Finance (ABT)")</f>
        <v/>
      </c>
      <c r="E24" s="67">
        <f>HYPERLINK("https://www.digrin.com/stocks/detail/ABT/price", "Digrin Adj. Close (ABT)")</f>
        <v/>
      </c>
      <c r="F24" s="67">
        <f>HYPERLINK("https://www.sec.gov/edgar/searchedgar/companysearch", "SEC EDGAR 10-K / Prospectus (ABT)")</f>
        <v/>
      </c>
      <c r="G24" s="27">
        <f>Raw_Adjusted_Prices!W5</f>
        <v/>
      </c>
      <c r="H24" s="41">
        <f>Raw_Adjusted_Prices!W101</f>
        <v/>
      </c>
      <c r="I24" s="27">
        <f>Raw_Adjusted_Prices!W137</f>
        <v/>
      </c>
      <c r="J24" s="40">
        <f>COUNT(Raw_Adjusted_Prices!W5:W137)</f>
        <v/>
      </c>
      <c r="K24" s="40">
        <f>COUNT(Returns_data!W2:W97)</f>
        <v/>
      </c>
      <c r="L24" s="40">
        <f>COUNT(Returns_data!W100:W135)</f>
        <v/>
      </c>
      <c r="M24" s="8" t="inlineStr">
        <is>
          <t>e2d96f89b6c453c7c60f39957d52a590b0b9ce91be1e09fabf378ffb1407aa9a</t>
        </is>
      </c>
      <c r="N24" s="33">
        <f>IF(AND(J24=133,K24=96,L24=36),"VERIFIED – PULLED FROM SOURCE","CHECK")</f>
        <v/>
      </c>
    </row>
    <row r="25" ht="22" customHeight="1">
      <c r="A25" s="4" t="inlineStr">
        <is>
          <t>MRK</t>
        </is>
      </c>
      <c r="B25" s="5" t="inlineStr">
        <is>
          <t>Merck &amp; Co., Inc.</t>
        </is>
      </c>
      <c r="C25" s="5" t="inlineStr">
        <is>
          <t>Stock – Health Care</t>
        </is>
      </c>
      <c r="D25" s="66">
        <f>HYPERLINK("https://finance.yahoo.com/quote/MRK/history", "Yahoo Finance (MRK)")</f>
        <v/>
      </c>
      <c r="E25" s="66">
        <f>HYPERLINK("https://www.digrin.com/stocks/detail/MRK/price", "Digrin Adj. Close (MRK)")</f>
        <v/>
      </c>
      <c r="F25" s="66">
        <f>HYPERLINK("https://www.sec.gov/edgar/searchedgar/companysearch", "SEC EDGAR 10-K / Prospectus (MRK)")</f>
        <v/>
      </c>
      <c r="G25" s="22">
        <f>Raw_Adjusted_Prices!X5</f>
        <v/>
      </c>
      <c r="H25" s="38">
        <f>Raw_Adjusted_Prices!X101</f>
        <v/>
      </c>
      <c r="I25" s="22">
        <f>Raw_Adjusted_Prices!X137</f>
        <v/>
      </c>
      <c r="J25" s="36">
        <f>COUNT(Raw_Adjusted_Prices!X5:X137)</f>
        <v/>
      </c>
      <c r="K25" s="36">
        <f>COUNT(Returns_data!X2:X97)</f>
        <v/>
      </c>
      <c r="L25" s="36">
        <f>COUNT(Returns_data!X100:X135)</f>
        <v/>
      </c>
      <c r="M25" s="5" t="inlineStr">
        <is>
          <t>00e7c625953436333a6e3b0c9ca7dfcf7942fd1ceea8d3d1bfbd390be6ccb056</t>
        </is>
      </c>
      <c r="N25" s="33">
        <f>IF(AND(J25=133,K25=96,L25=36),"VERIFIED – PULLED FROM SOURCE","CHECK")</f>
        <v/>
      </c>
    </row>
    <row r="26" ht="22" customHeight="1">
      <c r="A26" s="7" t="inlineStr">
        <is>
          <t>LLY</t>
        </is>
      </c>
      <c r="B26" s="8" t="inlineStr">
        <is>
          <t>Eli Lilly and Co.</t>
        </is>
      </c>
      <c r="C26" s="8" t="inlineStr">
        <is>
          <t>Stock – Health Care</t>
        </is>
      </c>
      <c r="D26" s="67">
        <f>HYPERLINK("https://finance.yahoo.com/quote/LLY/history", "Yahoo Finance (LLY)")</f>
        <v/>
      </c>
      <c r="E26" s="67">
        <f>HYPERLINK("https://www.digrin.com/stocks/detail/LLY/price", "Digrin Adj. Close (LLY)")</f>
        <v/>
      </c>
      <c r="F26" s="67">
        <f>HYPERLINK("https://www.sec.gov/edgar/searchedgar/companysearch", "SEC EDGAR 10-K / Prospectus (LLY)")</f>
        <v/>
      </c>
      <c r="G26" s="27">
        <f>Raw_Adjusted_Prices!Y5</f>
        <v/>
      </c>
      <c r="H26" s="41">
        <f>Raw_Adjusted_Prices!Y101</f>
        <v/>
      </c>
      <c r="I26" s="27">
        <f>Raw_Adjusted_Prices!Y137</f>
        <v/>
      </c>
      <c r="J26" s="40">
        <f>COUNT(Raw_Adjusted_Prices!Y5:Y137)</f>
        <v/>
      </c>
      <c r="K26" s="40">
        <f>COUNT(Returns_data!Y2:Y97)</f>
        <v/>
      </c>
      <c r="L26" s="40">
        <f>COUNT(Returns_data!Y100:Y135)</f>
        <v/>
      </c>
      <c r="M26" s="8" t="inlineStr">
        <is>
          <t>4a865745f2adf878a1a16c6284bcf24d7228d7f87146e1cd4fd8d97109dcb72a</t>
        </is>
      </c>
      <c r="N26" s="33">
        <f>IF(AND(J26=133,K26=96,L26=36),"VERIFIED – PULLED FROM SOURCE","CHECK")</f>
        <v/>
      </c>
    </row>
    <row r="27" ht="22" customHeight="1">
      <c r="A27" s="4" t="inlineStr">
        <is>
          <t>BAC</t>
        </is>
      </c>
      <c r="B27" s="5" t="inlineStr">
        <is>
          <t>Bank of America Corp.</t>
        </is>
      </c>
      <c r="C27" s="5" t="inlineStr">
        <is>
          <t>Stock – Financials</t>
        </is>
      </c>
      <c r="D27" s="66">
        <f>HYPERLINK("https://finance.yahoo.com/quote/BAC/history", "Yahoo Finance (BAC)")</f>
        <v/>
      </c>
      <c r="E27" s="66">
        <f>HYPERLINK("https://www.digrin.com/stocks/detail/BAC/price", "Digrin Adj. Close (BAC)")</f>
        <v/>
      </c>
      <c r="F27" s="66">
        <f>HYPERLINK("https://www.sec.gov/edgar/searchedgar/companysearch", "SEC EDGAR 10-K / Prospectus (BAC)")</f>
        <v/>
      </c>
      <c r="G27" s="22">
        <f>Raw_Adjusted_Prices!Z5</f>
        <v/>
      </c>
      <c r="H27" s="38">
        <f>Raw_Adjusted_Prices!Z101</f>
        <v/>
      </c>
      <c r="I27" s="22">
        <f>Raw_Adjusted_Prices!Z137</f>
        <v/>
      </c>
      <c r="J27" s="36">
        <f>COUNT(Raw_Adjusted_Prices!Z5:Z137)</f>
        <v/>
      </c>
      <c r="K27" s="36">
        <f>COUNT(Returns_data!Z2:Z97)</f>
        <v/>
      </c>
      <c r="L27" s="36">
        <f>COUNT(Returns_data!Z100:Z135)</f>
        <v/>
      </c>
      <c r="M27" s="5" t="inlineStr">
        <is>
          <t>cfb3fb12a9f8074969d08487125a825844c88f8bac549f1d842f23585ee1d38d</t>
        </is>
      </c>
      <c r="N27" s="33">
        <f>IF(AND(J27=133,K27=96,L27=36),"VERIFIED – PULLED FROM SOURCE","CHECK")</f>
        <v/>
      </c>
    </row>
    <row r="28" ht="22" customHeight="1">
      <c r="A28" s="7" t="inlineStr">
        <is>
          <t>BLK</t>
        </is>
      </c>
      <c r="B28" s="8" t="inlineStr">
        <is>
          <t>BlackRock, Inc.</t>
        </is>
      </c>
      <c r="C28" s="8" t="inlineStr">
        <is>
          <t>Stock – Financials</t>
        </is>
      </c>
      <c r="D28" s="67">
        <f>HYPERLINK("https://finance.yahoo.com/quote/BLK/history", "Yahoo Finance (BLK)")</f>
        <v/>
      </c>
      <c r="E28" s="67">
        <f>HYPERLINK("https://www.digrin.com/stocks/detail/BLK/price", "Digrin Adj. Close (BLK)")</f>
        <v/>
      </c>
      <c r="F28" s="67">
        <f>HYPERLINK("https://www.sec.gov/edgar/searchedgar/companysearch", "SEC EDGAR 10-K / Prospectus (BLK)")</f>
        <v/>
      </c>
      <c r="G28" s="27">
        <f>Raw_Adjusted_Prices!AA5</f>
        <v/>
      </c>
      <c r="H28" s="41">
        <f>Raw_Adjusted_Prices!AA101</f>
        <v/>
      </c>
      <c r="I28" s="27">
        <f>Raw_Adjusted_Prices!AA137</f>
        <v/>
      </c>
      <c r="J28" s="40">
        <f>COUNT(Raw_Adjusted_Prices!AA5:AA137)</f>
        <v/>
      </c>
      <c r="K28" s="40">
        <f>COUNT(Returns_data!AA2:AA97)</f>
        <v/>
      </c>
      <c r="L28" s="40">
        <f>COUNT(Returns_data!AA100:AA135)</f>
        <v/>
      </c>
      <c r="M28" s="8" t="inlineStr">
        <is>
          <t>4410efb4fe62a841bdaf5d3c91c59c2a731f4f26612d358ab0666617ed2449e2</t>
        </is>
      </c>
      <c r="N28" s="33">
        <f>IF(AND(J28=133,K28=96,L28=36),"VERIFIED – PULLED FROM SOURCE","CHECK")</f>
        <v/>
      </c>
    </row>
    <row r="29" ht="22" customHeight="1">
      <c r="A29" s="4" t="inlineStr">
        <is>
          <t>AXP</t>
        </is>
      </c>
      <c r="B29" s="5" t="inlineStr">
        <is>
          <t>American Express Co.</t>
        </is>
      </c>
      <c r="C29" s="5" t="inlineStr">
        <is>
          <t>Stock – Financials</t>
        </is>
      </c>
      <c r="D29" s="66">
        <f>HYPERLINK("https://finance.yahoo.com/quote/AXP/history", "Yahoo Finance (AXP)")</f>
        <v/>
      </c>
      <c r="E29" s="66">
        <f>HYPERLINK("https://www.digrin.com/stocks/detail/AXP/price", "Digrin Adj. Close (AXP)")</f>
        <v/>
      </c>
      <c r="F29" s="66">
        <f>HYPERLINK("https://www.sec.gov/edgar/searchedgar/companysearch", "SEC EDGAR 10-K / Prospectus (AXP)")</f>
        <v/>
      </c>
      <c r="G29" s="22">
        <f>Raw_Adjusted_Prices!AB5</f>
        <v/>
      </c>
      <c r="H29" s="38">
        <f>Raw_Adjusted_Prices!AB101</f>
        <v/>
      </c>
      <c r="I29" s="22">
        <f>Raw_Adjusted_Prices!AB137</f>
        <v/>
      </c>
      <c r="J29" s="36">
        <f>COUNT(Raw_Adjusted_Prices!AB5:AB137)</f>
        <v/>
      </c>
      <c r="K29" s="36">
        <f>COUNT(Returns_data!AB2:AB97)</f>
        <v/>
      </c>
      <c r="L29" s="36">
        <f>COUNT(Returns_data!AB100:AB135)</f>
        <v/>
      </c>
      <c r="M29" s="5" t="inlineStr">
        <is>
          <t>cd260c1085e3b9335d54e4c5a388c2477a30bd2ce0ea0f2c7f37fe7ca5c53abb</t>
        </is>
      </c>
      <c r="N29" s="33">
        <f>IF(AND(J29=133,K29=96,L29=36),"VERIFIED – PULLED FROM SOURCE","CHECK")</f>
        <v/>
      </c>
    </row>
    <row r="30" ht="22" customHeight="1">
      <c r="A30" s="7" t="inlineStr">
        <is>
          <t>KO</t>
        </is>
      </c>
      <c r="B30" s="8" t="inlineStr">
        <is>
          <t>The Coca-Cola Co.</t>
        </is>
      </c>
      <c r="C30" s="8" t="inlineStr">
        <is>
          <t>Stock – Consumer Staples</t>
        </is>
      </c>
      <c r="D30" s="67">
        <f>HYPERLINK("https://finance.yahoo.com/quote/KO/history", "Yahoo Finance (KO)")</f>
        <v/>
      </c>
      <c r="E30" s="67">
        <f>HYPERLINK("https://www.digrin.com/stocks/detail/KO/price", "Digrin Adj. Close (KO)")</f>
        <v/>
      </c>
      <c r="F30" s="67">
        <f>HYPERLINK("https://www.sec.gov/edgar/searchedgar/companysearch", "SEC EDGAR 10-K / Prospectus (KO)")</f>
        <v/>
      </c>
      <c r="G30" s="27">
        <f>Raw_Adjusted_Prices!AC5</f>
        <v/>
      </c>
      <c r="H30" s="41">
        <f>Raw_Adjusted_Prices!AC101</f>
        <v/>
      </c>
      <c r="I30" s="27">
        <f>Raw_Adjusted_Prices!AC137</f>
        <v/>
      </c>
      <c r="J30" s="40">
        <f>COUNT(Raw_Adjusted_Prices!AC5:AC137)</f>
        <v/>
      </c>
      <c r="K30" s="40">
        <f>COUNT(Returns_data!AC2:AC97)</f>
        <v/>
      </c>
      <c r="L30" s="40">
        <f>COUNT(Returns_data!AC100:AC135)</f>
        <v/>
      </c>
      <c r="M30" s="8" t="inlineStr">
        <is>
          <t>540b5d25ac66adb1bbf869db5b856194f76a8a6e1aab0e59f7215d822cb08fca</t>
        </is>
      </c>
      <c r="N30" s="33">
        <f>IF(AND(J30=133,K30=96,L30=36),"VERIFIED – PULLED FROM SOURCE","CHECK")</f>
        <v/>
      </c>
    </row>
    <row r="31" ht="22" customHeight="1">
      <c r="A31" s="4" t="inlineStr">
        <is>
          <t>PEP</t>
        </is>
      </c>
      <c r="B31" s="5" t="inlineStr">
        <is>
          <t>PepsiCo, Inc.</t>
        </is>
      </c>
      <c r="C31" s="5" t="inlineStr">
        <is>
          <t>Stock – Consumer Staples</t>
        </is>
      </c>
      <c r="D31" s="66">
        <f>HYPERLINK("https://finance.yahoo.com/quote/PEP/history", "Yahoo Finance (PEP)")</f>
        <v/>
      </c>
      <c r="E31" s="66">
        <f>HYPERLINK("https://www.digrin.com/stocks/detail/PEP/price", "Digrin Adj. Close (PEP)")</f>
        <v/>
      </c>
      <c r="F31" s="66">
        <f>HYPERLINK("https://www.sec.gov/edgar/searchedgar/companysearch", "SEC EDGAR 10-K / Prospectus (PEP)")</f>
        <v/>
      </c>
      <c r="G31" s="22">
        <f>Raw_Adjusted_Prices!AD5</f>
        <v/>
      </c>
      <c r="H31" s="38">
        <f>Raw_Adjusted_Prices!AD101</f>
        <v/>
      </c>
      <c r="I31" s="22">
        <f>Raw_Adjusted_Prices!AD137</f>
        <v/>
      </c>
      <c r="J31" s="36">
        <f>COUNT(Raw_Adjusted_Prices!AD5:AD137)</f>
        <v/>
      </c>
      <c r="K31" s="36">
        <f>COUNT(Returns_data!AD2:AD97)</f>
        <v/>
      </c>
      <c r="L31" s="36">
        <f>COUNT(Returns_data!AD100:AD135)</f>
        <v/>
      </c>
      <c r="M31" s="5" t="inlineStr">
        <is>
          <t>58369a3e0316f18c16c8316ff057fa16a3b1952c58670f65bb8832a3b35bdc4c</t>
        </is>
      </c>
      <c r="N31" s="33">
        <f>IF(AND(J31=133,K31=96,L31=36),"VERIFIED – PULLED FROM SOURCE","CHECK")</f>
        <v/>
      </c>
    </row>
    <row r="32" ht="22" customHeight="1">
      <c r="A32" s="7" t="inlineStr">
        <is>
          <t>WMT</t>
        </is>
      </c>
      <c r="B32" s="8" t="inlineStr">
        <is>
          <t>Walmart Inc.</t>
        </is>
      </c>
      <c r="C32" s="8" t="inlineStr">
        <is>
          <t>Stock – Consumer Staples</t>
        </is>
      </c>
      <c r="D32" s="67">
        <f>HYPERLINK("https://finance.yahoo.com/quote/WMT/history", "Yahoo Finance (WMT)")</f>
        <v/>
      </c>
      <c r="E32" s="67">
        <f>HYPERLINK("https://www.digrin.com/stocks/detail/WMT/price", "Digrin Adj. Close (WMT)")</f>
        <v/>
      </c>
      <c r="F32" s="67">
        <f>HYPERLINK("https://www.sec.gov/edgar/searchedgar/companysearch", "SEC EDGAR 10-K / Prospectus (WMT)")</f>
        <v/>
      </c>
      <c r="G32" s="27">
        <f>Raw_Adjusted_Prices!AE5</f>
        <v/>
      </c>
      <c r="H32" s="41">
        <f>Raw_Adjusted_Prices!AE101</f>
        <v/>
      </c>
      <c r="I32" s="27">
        <f>Raw_Adjusted_Prices!AE137</f>
        <v/>
      </c>
      <c r="J32" s="40">
        <f>COUNT(Raw_Adjusted_Prices!AE5:AE137)</f>
        <v/>
      </c>
      <c r="K32" s="40">
        <f>COUNT(Returns_data!AE2:AE97)</f>
        <v/>
      </c>
      <c r="L32" s="40">
        <f>COUNT(Returns_data!AE100:AE135)</f>
        <v/>
      </c>
      <c r="M32" s="8" t="inlineStr">
        <is>
          <t>88e603993aa237f5c4c04087b68cb0f193519965564efc4476de55a4d1dd672f</t>
        </is>
      </c>
      <c r="N32" s="33">
        <f>IF(AND(J32=133,K32=96,L32=36),"VERIFIED – PULLED FROM SOURCE","CHECK")</f>
        <v/>
      </c>
    </row>
    <row r="33" ht="22" customHeight="1">
      <c r="A33" s="4" t="inlineStr">
        <is>
          <t>CVX</t>
        </is>
      </c>
      <c r="B33" s="5" t="inlineStr">
        <is>
          <t>Chevron Corp.</t>
        </is>
      </c>
      <c r="C33" s="5" t="inlineStr">
        <is>
          <t>Stock – Energy</t>
        </is>
      </c>
      <c r="D33" s="66">
        <f>HYPERLINK("https://finance.yahoo.com/quote/CVX/history", "Yahoo Finance (CVX)")</f>
        <v/>
      </c>
      <c r="E33" s="66">
        <f>HYPERLINK("https://www.digrin.com/stocks/detail/CVX/price", "Digrin Adj. Close (CVX)")</f>
        <v/>
      </c>
      <c r="F33" s="66">
        <f>HYPERLINK("https://www.sec.gov/edgar/searchedgar/companysearch", "SEC EDGAR 10-K / Prospectus (CVX)")</f>
        <v/>
      </c>
      <c r="G33" s="22">
        <f>Raw_Adjusted_Prices!AF5</f>
        <v/>
      </c>
      <c r="H33" s="38">
        <f>Raw_Adjusted_Prices!AF101</f>
        <v/>
      </c>
      <c r="I33" s="22">
        <f>Raw_Adjusted_Prices!AF137</f>
        <v/>
      </c>
      <c r="J33" s="36">
        <f>COUNT(Raw_Adjusted_Prices!AF5:AF137)</f>
        <v/>
      </c>
      <c r="K33" s="36">
        <f>COUNT(Returns_data!AF2:AF97)</f>
        <v/>
      </c>
      <c r="L33" s="36">
        <f>COUNT(Returns_data!AF100:AF135)</f>
        <v/>
      </c>
      <c r="M33" s="5" t="inlineStr">
        <is>
          <t>4aba7d2e5616006e7a0b9bc928739f69c407acbaa3f3f1e5851fa53489551131</t>
        </is>
      </c>
      <c r="N33" s="33">
        <f>IF(AND(J33=133,K33=96,L33=36),"VERIFIED – PULLED FROM SOURCE","CHECK")</f>
        <v/>
      </c>
    </row>
    <row r="34" ht="22" customHeight="1">
      <c r="A34" s="7" t="inlineStr">
        <is>
          <t>COP</t>
        </is>
      </c>
      <c r="B34" s="8" t="inlineStr">
        <is>
          <t>ConocoPhillips</t>
        </is>
      </c>
      <c r="C34" s="8" t="inlineStr">
        <is>
          <t>Stock – Energy</t>
        </is>
      </c>
      <c r="D34" s="67">
        <f>HYPERLINK("https://finance.yahoo.com/quote/COP/history", "Yahoo Finance (COP)")</f>
        <v/>
      </c>
      <c r="E34" s="67">
        <f>HYPERLINK("https://www.digrin.com/stocks/detail/COP/price", "Digrin Adj. Close (COP)")</f>
        <v/>
      </c>
      <c r="F34" s="67">
        <f>HYPERLINK("https://www.sec.gov/edgar/searchedgar/companysearch", "SEC EDGAR 10-K / Prospectus (COP)")</f>
        <v/>
      </c>
      <c r="G34" s="27">
        <f>Raw_Adjusted_Prices!AG5</f>
        <v/>
      </c>
      <c r="H34" s="41">
        <f>Raw_Adjusted_Prices!AG101</f>
        <v/>
      </c>
      <c r="I34" s="27">
        <f>Raw_Adjusted_Prices!AG137</f>
        <v/>
      </c>
      <c r="J34" s="40">
        <f>COUNT(Raw_Adjusted_Prices!AG5:AG137)</f>
        <v/>
      </c>
      <c r="K34" s="40">
        <f>COUNT(Returns_data!AG2:AG97)</f>
        <v/>
      </c>
      <c r="L34" s="40">
        <f>COUNT(Returns_data!AG100:AG135)</f>
        <v/>
      </c>
      <c r="M34" s="8" t="inlineStr">
        <is>
          <t>80d93aaf14282616652320f216d55349e66eb71760a024224db32cce702b985f</t>
        </is>
      </c>
      <c r="N34" s="33">
        <f>IF(AND(J34=133,K34=96,L34=36),"VERIFIED – PULLED FROM SOURCE","CHECK")</f>
        <v/>
      </c>
    </row>
    <row r="35" ht="22" customHeight="1">
      <c r="A35" s="4" t="inlineStr">
        <is>
          <t>SLB</t>
        </is>
      </c>
      <c r="B35" s="5" t="inlineStr">
        <is>
          <t>SLB (formerly Schlumberger)</t>
        </is>
      </c>
      <c r="C35" s="5" t="inlineStr">
        <is>
          <t>Stock – Energy</t>
        </is>
      </c>
      <c r="D35" s="66">
        <f>HYPERLINK("https://finance.yahoo.com/quote/SLB/history", "Yahoo Finance (SLB)")</f>
        <v/>
      </c>
      <c r="E35" s="66">
        <f>HYPERLINK("https://www.digrin.com/stocks/detail/SLB/price", "Digrin Adj. Close (SLB)")</f>
        <v/>
      </c>
      <c r="F35" s="66">
        <f>HYPERLINK("https://www.sec.gov/edgar/searchedgar/companysearch", "SEC EDGAR 10-K / Prospectus (SLB)")</f>
        <v/>
      </c>
      <c r="G35" s="22">
        <f>Raw_Adjusted_Prices!AH5</f>
        <v/>
      </c>
      <c r="H35" s="38">
        <f>Raw_Adjusted_Prices!AH101</f>
        <v/>
      </c>
      <c r="I35" s="22">
        <f>Raw_Adjusted_Prices!AH137</f>
        <v/>
      </c>
      <c r="J35" s="36">
        <f>COUNT(Raw_Adjusted_Prices!AH5:AH137)</f>
        <v/>
      </c>
      <c r="K35" s="36">
        <f>COUNT(Returns_data!AH2:AH97)</f>
        <v/>
      </c>
      <c r="L35" s="36">
        <f>COUNT(Returns_data!AH100:AH135)</f>
        <v/>
      </c>
      <c r="M35" s="5" t="inlineStr">
        <is>
          <t>de92c0903fa14c506a9aba96ae26715cbeab6d38eebfce62930c8d99205a822c</t>
        </is>
      </c>
      <c r="N35" s="33">
        <f>IF(AND(J35=133,K35=96,L35=36),"VERIFIED – PULLED FROM SOURCE","CHECK")</f>
        <v/>
      </c>
    </row>
    <row r="36" ht="22" customHeight="1">
      <c r="A36" s="7" t="inlineStr">
        <is>
          <t>MCD</t>
        </is>
      </c>
      <c r="B36" s="8" t="inlineStr">
        <is>
          <t>McDonald's Corp.</t>
        </is>
      </c>
      <c r="C36" s="8" t="inlineStr">
        <is>
          <t>Stock – Consumer Discretionary</t>
        </is>
      </c>
      <c r="D36" s="67">
        <f>HYPERLINK("https://finance.yahoo.com/quote/MCD/history", "Yahoo Finance (MCD)")</f>
        <v/>
      </c>
      <c r="E36" s="67">
        <f>HYPERLINK("https://www.digrin.com/stocks/detail/MCD/price", "Digrin Adj. Close (MCD)")</f>
        <v/>
      </c>
      <c r="F36" s="67">
        <f>HYPERLINK("https://www.sec.gov/edgar/searchedgar/companysearch", "SEC EDGAR 10-K / Prospectus (MCD)")</f>
        <v/>
      </c>
      <c r="G36" s="27">
        <f>Raw_Adjusted_Prices!AI5</f>
        <v/>
      </c>
      <c r="H36" s="41">
        <f>Raw_Adjusted_Prices!AI101</f>
        <v/>
      </c>
      <c r="I36" s="27">
        <f>Raw_Adjusted_Prices!AI137</f>
        <v/>
      </c>
      <c r="J36" s="40">
        <f>COUNT(Raw_Adjusted_Prices!AI5:AI137)</f>
        <v/>
      </c>
      <c r="K36" s="40">
        <f>COUNT(Returns_data!AI2:AI97)</f>
        <v/>
      </c>
      <c r="L36" s="40">
        <f>COUNT(Returns_data!AI100:AI135)</f>
        <v/>
      </c>
      <c r="M36" s="8" t="inlineStr">
        <is>
          <t>292016656b525d6eab35dbaff1d5e1b318cae36c15c79faa36ee78c930f8538d</t>
        </is>
      </c>
      <c r="N36" s="33">
        <f>IF(AND(J36=133,K36=96,L36=36),"VERIFIED – PULLED FROM SOURCE","CHECK")</f>
        <v/>
      </c>
    </row>
    <row r="37" ht="22" customHeight="1">
      <c r="A37" s="4" t="inlineStr">
        <is>
          <t>NKE</t>
        </is>
      </c>
      <c r="B37" s="5" t="inlineStr">
        <is>
          <t>NIKE, Inc.</t>
        </is>
      </c>
      <c r="C37" s="5" t="inlineStr">
        <is>
          <t>Stock – Consumer Discretionary</t>
        </is>
      </c>
      <c r="D37" s="66">
        <f>HYPERLINK("https://finance.yahoo.com/quote/NKE/history", "Yahoo Finance (NKE)")</f>
        <v/>
      </c>
      <c r="E37" s="66">
        <f>HYPERLINK("https://www.digrin.com/stocks/detail/NKE/price", "Digrin Adj. Close (NKE)")</f>
        <v/>
      </c>
      <c r="F37" s="66">
        <f>HYPERLINK("https://www.sec.gov/edgar/searchedgar/companysearch", "SEC EDGAR 10-K / Prospectus (NKE)")</f>
        <v/>
      </c>
      <c r="G37" s="22">
        <f>Raw_Adjusted_Prices!AJ5</f>
        <v/>
      </c>
      <c r="H37" s="38">
        <f>Raw_Adjusted_Prices!AJ101</f>
        <v/>
      </c>
      <c r="I37" s="22">
        <f>Raw_Adjusted_Prices!AJ137</f>
        <v/>
      </c>
      <c r="J37" s="36">
        <f>COUNT(Raw_Adjusted_Prices!AJ5:AJ137)</f>
        <v/>
      </c>
      <c r="K37" s="36">
        <f>COUNT(Returns_data!AJ2:AJ97)</f>
        <v/>
      </c>
      <c r="L37" s="36">
        <f>COUNT(Returns_data!AJ100:AJ135)</f>
        <v/>
      </c>
      <c r="M37" s="5" t="inlineStr">
        <is>
          <t>57daff15098c705ea3d363824e1d8d02ed92e9b0de9ac604fc2a002a561e61ce</t>
        </is>
      </c>
      <c r="N37" s="33">
        <f>IF(AND(J37=133,K37=96,L37=36),"VERIFIED – PULLED FROM SOURCE","CHECK")</f>
        <v/>
      </c>
    </row>
    <row r="38" ht="22" customHeight="1">
      <c r="A38" s="7" t="inlineStr">
        <is>
          <t>SBUX</t>
        </is>
      </c>
      <c r="B38" s="8" t="inlineStr">
        <is>
          <t>Starbucks Corp.</t>
        </is>
      </c>
      <c r="C38" s="8" t="inlineStr">
        <is>
          <t>Stock – Consumer Discretionary</t>
        </is>
      </c>
      <c r="D38" s="67">
        <f>HYPERLINK("https://finance.yahoo.com/quote/SBUX/history", "Yahoo Finance (SBUX)")</f>
        <v/>
      </c>
      <c r="E38" s="67">
        <f>HYPERLINK("https://www.digrin.com/stocks/detail/SBUX/price", "Digrin Adj. Close (SBUX)")</f>
        <v/>
      </c>
      <c r="F38" s="67">
        <f>HYPERLINK("https://www.sec.gov/edgar/searchedgar/companysearch", "SEC EDGAR 10-K / Prospectus (SBUX)")</f>
        <v/>
      </c>
      <c r="G38" s="27">
        <f>Raw_Adjusted_Prices!AK5</f>
        <v/>
      </c>
      <c r="H38" s="41">
        <f>Raw_Adjusted_Prices!AK101</f>
        <v/>
      </c>
      <c r="I38" s="27">
        <f>Raw_Adjusted_Prices!AK137</f>
        <v/>
      </c>
      <c r="J38" s="40">
        <f>COUNT(Raw_Adjusted_Prices!AK5:AK137)</f>
        <v/>
      </c>
      <c r="K38" s="40">
        <f>COUNT(Returns_data!AK2:AK97)</f>
        <v/>
      </c>
      <c r="L38" s="40">
        <f>COUNT(Returns_data!AK100:AK135)</f>
        <v/>
      </c>
      <c r="M38" s="8" t="inlineStr">
        <is>
          <t>275496d7a076ad77d18c92a0e593c90faca85e2e61eedbdb21051e669ee7e6a3</t>
        </is>
      </c>
      <c r="N38" s="33">
        <f>IF(AND(J38=133,K38=96,L38=36),"VERIFIED – PULLED FROM SOURCE","CHECK")</f>
        <v/>
      </c>
    </row>
    <row r="39" ht="22" customHeight="1">
      <c r="A39" s="4" t="inlineStr">
        <is>
          <t>DUK</t>
        </is>
      </c>
      <c r="B39" s="5" t="inlineStr">
        <is>
          <t>Duke Energy Corp.</t>
        </is>
      </c>
      <c r="C39" s="5" t="inlineStr">
        <is>
          <t>Stock – Utilities</t>
        </is>
      </c>
      <c r="D39" s="66">
        <f>HYPERLINK("https://finance.yahoo.com/quote/DUK/history", "Yahoo Finance (DUK)")</f>
        <v/>
      </c>
      <c r="E39" s="66">
        <f>HYPERLINK("https://www.digrin.com/stocks/detail/DUK/price", "Digrin Adj. Close (DUK)")</f>
        <v/>
      </c>
      <c r="F39" s="66">
        <f>HYPERLINK("https://www.sec.gov/edgar/searchedgar/companysearch", "SEC EDGAR 10-K / Prospectus (DUK)")</f>
        <v/>
      </c>
      <c r="G39" s="22">
        <f>Raw_Adjusted_Prices!AL5</f>
        <v/>
      </c>
      <c r="H39" s="38">
        <f>Raw_Adjusted_Prices!AL101</f>
        <v/>
      </c>
      <c r="I39" s="22">
        <f>Raw_Adjusted_Prices!AL137</f>
        <v/>
      </c>
      <c r="J39" s="36">
        <f>COUNT(Raw_Adjusted_Prices!AL5:AL137)</f>
        <v/>
      </c>
      <c r="K39" s="36">
        <f>COUNT(Returns_data!AL2:AL97)</f>
        <v/>
      </c>
      <c r="L39" s="36">
        <f>COUNT(Returns_data!AL100:AL135)</f>
        <v/>
      </c>
      <c r="M39" s="5" t="inlineStr">
        <is>
          <t>e864fbfca4ba187d19fc1b291259463dcf3553f94a285158eed01dc812cd5c37</t>
        </is>
      </c>
      <c r="N39" s="33">
        <f>IF(AND(J39=133,K39=96,L39=36),"VERIFIED – PULLED FROM SOURCE","CHECK")</f>
        <v/>
      </c>
    </row>
    <row r="40" ht="22" customHeight="1">
      <c r="A40" s="7" t="inlineStr">
        <is>
          <t>AEP</t>
        </is>
      </c>
      <c r="B40" s="8" t="inlineStr">
        <is>
          <t>American Electric Power Co.</t>
        </is>
      </c>
      <c r="C40" s="8" t="inlineStr">
        <is>
          <t>Stock – Utilities</t>
        </is>
      </c>
      <c r="D40" s="67">
        <f>HYPERLINK("https://finance.yahoo.com/quote/AEP/history", "Yahoo Finance (AEP)")</f>
        <v/>
      </c>
      <c r="E40" s="67">
        <f>HYPERLINK("https://www.digrin.com/stocks/detail/AEP/price", "Digrin Adj. Close (AEP)")</f>
        <v/>
      </c>
      <c r="F40" s="67">
        <f>HYPERLINK("https://www.sec.gov/edgar/searchedgar/companysearch", "SEC EDGAR 10-K / Prospectus (AEP)")</f>
        <v/>
      </c>
      <c r="G40" s="27">
        <f>Raw_Adjusted_Prices!AM5</f>
        <v/>
      </c>
      <c r="H40" s="41">
        <f>Raw_Adjusted_Prices!AM101</f>
        <v/>
      </c>
      <c r="I40" s="27">
        <f>Raw_Adjusted_Prices!AM137</f>
        <v/>
      </c>
      <c r="J40" s="40">
        <f>COUNT(Raw_Adjusted_Prices!AM5:AM137)</f>
        <v/>
      </c>
      <c r="K40" s="40">
        <f>COUNT(Returns_data!AM2:AM97)</f>
        <v/>
      </c>
      <c r="L40" s="40">
        <f>COUNT(Returns_data!AM100:AM135)</f>
        <v/>
      </c>
      <c r="M40" s="8" t="inlineStr">
        <is>
          <t>afe6c8f236d7afbd1c0e9878161b98b13586d6f333ac28800d72975d16ee1e9e</t>
        </is>
      </c>
      <c r="N40" s="33">
        <f>IF(AND(J40=133,K40=96,L40=36),"VERIFIED – PULLED FROM SOURCE","CHECK")</f>
        <v/>
      </c>
    </row>
    <row r="41" ht="22" customHeight="1">
      <c r="A41" s="4" t="inlineStr">
        <is>
          <t>SO</t>
        </is>
      </c>
      <c r="B41" s="5" t="inlineStr">
        <is>
          <t>The Southern Company</t>
        </is>
      </c>
      <c r="C41" s="5" t="inlineStr">
        <is>
          <t>Stock – Utilities</t>
        </is>
      </c>
      <c r="D41" s="66">
        <f>HYPERLINK("https://finance.yahoo.com/quote/SO/history", "Yahoo Finance (SO)")</f>
        <v/>
      </c>
      <c r="E41" s="66">
        <f>HYPERLINK("https://www.digrin.com/stocks/detail/SO/price", "Digrin Adj. Close (SO)")</f>
        <v/>
      </c>
      <c r="F41" s="66">
        <f>HYPERLINK("https://www.sec.gov/edgar/searchedgar/companysearch", "SEC EDGAR 10-K / Prospectus (SO)")</f>
        <v/>
      </c>
      <c r="G41" s="22">
        <f>Raw_Adjusted_Prices!AN5</f>
        <v/>
      </c>
      <c r="H41" s="38">
        <f>Raw_Adjusted_Prices!AN101</f>
        <v/>
      </c>
      <c r="I41" s="22">
        <f>Raw_Adjusted_Prices!AN137</f>
        <v/>
      </c>
      <c r="J41" s="36">
        <f>COUNT(Raw_Adjusted_Prices!AN5:AN137)</f>
        <v/>
      </c>
      <c r="K41" s="36">
        <f>COUNT(Returns_data!AN2:AN97)</f>
        <v/>
      </c>
      <c r="L41" s="36">
        <f>COUNT(Returns_data!AN100:AN135)</f>
        <v/>
      </c>
      <c r="M41" s="5" t="inlineStr">
        <is>
          <t>2a70861a349f5c4753decfbcbd00df1a44b121eddffb487066b3622d748371f8</t>
        </is>
      </c>
      <c r="N41" s="33">
        <f>IF(AND(J41=133,K41=96,L41=36),"VERIFIED – PULLED FROM SOURCE","CHECK")</f>
        <v/>
      </c>
    </row>
    <row r="42" ht="24" customHeight="1">
      <c r="A42" s="59" t="inlineStr">
        <is>
          <t>FF3_FACTORS</t>
        </is>
      </c>
      <c r="B42" s="68" t="inlineStr">
        <is>
          <t>Fama-French 3 Factors (Mkt-RF, SMB, HML, RF)</t>
        </is>
      </c>
      <c r="C42" s="69" t="inlineStr">
        <is>
          <t>Macro / Multifactor Benchmark (US Monthly)</t>
        </is>
      </c>
      <c r="D42" s="64">
        <f>HYPERLINK("https://mba.tuck.dartmouth.edu/pages/faculty/ken.french/data_library.html", "Kenneth French Data Library (CSV)")</f>
        <v/>
      </c>
      <c r="E42" s="64">
        <f>HYPERLINK("https://mba.tuck.dartmouth.edu/pages/faculty/ken.french/data_library.html", "Dartmouth Tuck Factor Archive")</f>
        <v/>
      </c>
      <c r="F42" s="70" t="inlineStr">
        <is>
          <t>CRSP / Compustat Factor Construction</t>
        </is>
      </c>
      <c r="G42" s="71">
        <f>'Fama-French Factors'!B2</f>
        <v/>
      </c>
      <c r="H42" s="71">
        <f>'Fama-French Factors'!B97</f>
        <v/>
      </c>
      <c r="I42" s="72" t="inlineStr">
        <is>
          <t>N/A (96m In-Sample)</t>
        </is>
      </c>
      <c r="J42" s="72">
        <f>COUNT('Fama-French Factors'!B2:B97)</f>
        <v/>
      </c>
      <c r="K42" s="72">
        <f>COUNT('Fama-French Factors'!B2:B97)</f>
        <v/>
      </c>
      <c r="L42" s="72" t="n">
        <v>0</v>
      </c>
      <c r="M42" s="69" t="inlineStr">
        <is>
          <t>a419f3322a0ebfaa3849b95f41bb3d690c7f0f7fa86d02a5d41fda5cf1bf29fe</t>
        </is>
      </c>
      <c r="N42" s="33">
        <f>IF(K42=96,"VERIFIED – PULLED FROM SOURCE","CHECK")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9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 ht="24" customHeight="1">
      <c r="A1" s="30" t="inlineStr">
        <is>
          <t>Date</t>
        </is>
      </c>
      <c r="B1" s="30" t="inlineStr">
        <is>
          <t>AAPL</t>
        </is>
      </c>
      <c r="C1" s="30" t="inlineStr">
        <is>
          <t>BAC</t>
        </is>
      </c>
      <c r="D1" s="30" t="inlineStr">
        <is>
          <t>JNJ</t>
        </is>
      </c>
      <c r="E1" s="30" t="inlineStr">
        <is>
          <t>JPM</t>
        </is>
      </c>
      <c r="F1" s="30" t="inlineStr">
        <is>
          <t>KO</t>
        </is>
      </c>
      <c r="G1" s="30" t="inlineStr">
        <is>
          <t>MSFT</t>
        </is>
      </c>
      <c r="H1" s="30" t="inlineStr">
        <is>
          <t>PFE</t>
        </is>
      </c>
      <c r="I1" s="30" t="inlineStr">
        <is>
          <t>PG</t>
        </is>
      </c>
      <c r="J1" s="30" t="inlineStr">
        <is>
          <t>QQQ</t>
        </is>
      </c>
      <c r="K1" s="30" t="inlineStr">
        <is>
          <t>SPY</t>
        </is>
      </c>
      <c r="L1" s="30" t="inlineStr">
        <is>
          <t>UNH</t>
        </is>
      </c>
      <c r="M1" s="30" t="inlineStr">
        <is>
          <t>XOM</t>
        </is>
      </c>
      <c r="N1" s="30" t="inlineStr">
        <is>
          <t>HD</t>
        </is>
      </c>
      <c r="O1" s="30" t="inlineStr">
        <is>
          <t>NEE</t>
        </is>
      </c>
      <c r="P1" s="30" t="inlineStr">
        <is>
          <t>USMV</t>
        </is>
      </c>
      <c r="Q1" s="30" t="inlineStr">
        <is>
          <t>VTI</t>
        </is>
      </c>
      <c r="R1" s="30" t="inlineStr">
        <is>
          <t>VTV</t>
        </is>
      </c>
      <c r="S1" s="30" t="inlineStr">
        <is>
          <t>SCHD</t>
        </is>
      </c>
      <c r="T1" s="30" t="inlineStr">
        <is>
          <t>RSP</t>
        </is>
      </c>
      <c r="U1" s="30" t="inlineStr">
        <is>
          <t>VUG</t>
        </is>
      </c>
      <c r="V1" s="30" t="inlineStr">
        <is>
          <t>CSCO</t>
        </is>
      </c>
      <c r="W1" s="30" t="inlineStr">
        <is>
          <t>TXN</t>
        </is>
      </c>
      <c r="X1" s="30" t="inlineStr">
        <is>
          <t>NVDA</t>
        </is>
      </c>
      <c r="Y1" s="30" t="inlineStr">
        <is>
          <t>ABT</t>
        </is>
      </c>
      <c r="Z1" s="30" t="inlineStr">
        <is>
          <t>MRK</t>
        </is>
      </c>
      <c r="AA1" s="30" t="inlineStr">
        <is>
          <t>LLY</t>
        </is>
      </c>
      <c r="AB1" s="30" t="inlineStr">
        <is>
          <t>BLK</t>
        </is>
      </c>
      <c r="AC1" s="30" t="inlineStr">
        <is>
          <t>AXP</t>
        </is>
      </c>
      <c r="AD1" s="30" t="inlineStr">
        <is>
          <t>PEP</t>
        </is>
      </c>
      <c r="AE1" s="30" t="inlineStr">
        <is>
          <t>WMT</t>
        </is>
      </c>
      <c r="AF1" s="30" t="inlineStr">
        <is>
          <t>CVX</t>
        </is>
      </c>
      <c r="AG1" s="30" t="inlineStr">
        <is>
          <t>COP</t>
        </is>
      </c>
      <c r="AH1" s="30" t="inlineStr">
        <is>
          <t>SLB</t>
        </is>
      </c>
      <c r="AI1" s="30" t="inlineStr">
        <is>
          <t>MCD</t>
        </is>
      </c>
      <c r="AJ1" s="30" t="inlineStr">
        <is>
          <t>NKE</t>
        </is>
      </c>
      <c r="AK1" s="30" t="inlineStr">
        <is>
          <t>SBUX</t>
        </is>
      </c>
      <c r="AL1" s="30" t="inlineStr">
        <is>
          <t>DUK</t>
        </is>
      </c>
      <c r="AM1" s="30" t="inlineStr">
        <is>
          <t>AEP</t>
        </is>
      </c>
      <c r="AN1" s="30" t="inlineStr">
        <is>
          <t>SO</t>
        </is>
      </c>
    </row>
    <row r="2">
      <c r="A2" s="10" t="inlineStr">
        <is>
          <t>2015-01-01</t>
        </is>
      </c>
      <c r="B2" s="15">
        <f>Returns_data!R2</f>
        <v/>
      </c>
      <c r="C2" s="15">
        <f>Returns_data!Z2</f>
        <v/>
      </c>
      <c r="D2" s="15">
        <f>Returns_data!C2</f>
        <v/>
      </c>
      <c r="E2" s="15">
        <f>Returns_data!D2</f>
        <v/>
      </c>
      <c r="F2" s="15">
        <f>Returns_data!AC2</f>
        <v/>
      </c>
      <c r="G2" s="15">
        <f>Returns_data!E2</f>
        <v/>
      </c>
      <c r="H2" s="15">
        <f>Returns_data!V2</f>
        <v/>
      </c>
      <c r="I2" s="15">
        <f>Returns_data!G2</f>
        <v/>
      </c>
      <c r="J2" s="15">
        <f>Returns_data!O2</f>
        <v/>
      </c>
      <c r="K2" s="15">
        <f>Returns_data!Q2</f>
        <v/>
      </c>
      <c r="L2" s="15">
        <f>Returns_data!H2</f>
        <v/>
      </c>
      <c r="M2" s="15">
        <f>Returns_data!K2</f>
        <v/>
      </c>
      <c r="N2" s="15">
        <f>Returns_data!B2</f>
        <v/>
      </c>
      <c r="O2" s="15">
        <f>Returns_data!F2</f>
        <v/>
      </c>
      <c r="P2" s="15">
        <f>Returns_data!I2</f>
        <v/>
      </c>
      <c r="Q2" s="15">
        <f>Returns_data!J2</f>
        <v/>
      </c>
      <c r="R2" s="15">
        <f>Returns_data!L2</f>
        <v/>
      </c>
      <c r="S2" s="15">
        <f>Returns_data!M2</f>
        <v/>
      </c>
      <c r="T2" s="15">
        <f>Returns_data!N2</f>
        <v/>
      </c>
      <c r="U2" s="15">
        <f>Returns_data!P2</f>
        <v/>
      </c>
      <c r="V2" s="15">
        <f>Returns_data!S2</f>
        <v/>
      </c>
      <c r="W2" s="15">
        <f>Returns_data!T2</f>
        <v/>
      </c>
      <c r="X2" s="15">
        <f>Returns_data!U2</f>
        <v/>
      </c>
      <c r="Y2" s="15">
        <f>Returns_data!W2</f>
        <v/>
      </c>
      <c r="Z2" s="15">
        <f>Returns_data!X2</f>
        <v/>
      </c>
      <c r="AA2" s="15">
        <f>Returns_data!Y2</f>
        <v/>
      </c>
      <c r="AB2" s="15">
        <f>Returns_data!AA2</f>
        <v/>
      </c>
      <c r="AC2" s="15">
        <f>Returns_data!AB2</f>
        <v/>
      </c>
      <c r="AD2" s="15">
        <f>Returns_data!AD2</f>
        <v/>
      </c>
      <c r="AE2" s="15">
        <f>Returns_data!AE2</f>
        <v/>
      </c>
      <c r="AF2" s="15">
        <f>Returns_data!AF2</f>
        <v/>
      </c>
      <c r="AG2" s="15">
        <f>Returns_data!AG2</f>
        <v/>
      </c>
      <c r="AH2" s="15">
        <f>Returns_data!AH2</f>
        <v/>
      </c>
      <c r="AI2" s="15">
        <f>Returns_data!AI2</f>
        <v/>
      </c>
      <c r="AJ2" s="15">
        <f>Returns_data!AJ2</f>
        <v/>
      </c>
      <c r="AK2" s="15">
        <f>Returns_data!AK2</f>
        <v/>
      </c>
      <c r="AL2" s="15">
        <f>Returns_data!AL2</f>
        <v/>
      </c>
      <c r="AM2" s="15">
        <f>Returns_data!AM2</f>
        <v/>
      </c>
      <c r="AN2" s="15">
        <f>Returns_data!AN2</f>
        <v/>
      </c>
    </row>
    <row r="3">
      <c r="A3" s="24" t="inlineStr">
        <is>
          <t>2015-02-01</t>
        </is>
      </c>
      <c r="B3" s="26">
        <f>Returns_data!R3</f>
        <v/>
      </c>
      <c r="C3" s="26">
        <f>Returns_data!Z3</f>
        <v/>
      </c>
      <c r="D3" s="26">
        <f>Returns_data!C3</f>
        <v/>
      </c>
      <c r="E3" s="26">
        <f>Returns_data!D3</f>
        <v/>
      </c>
      <c r="F3" s="26">
        <f>Returns_data!AC3</f>
        <v/>
      </c>
      <c r="G3" s="26">
        <f>Returns_data!E3</f>
        <v/>
      </c>
      <c r="H3" s="26">
        <f>Returns_data!V3</f>
        <v/>
      </c>
      <c r="I3" s="26">
        <f>Returns_data!G3</f>
        <v/>
      </c>
      <c r="J3" s="26">
        <f>Returns_data!O3</f>
        <v/>
      </c>
      <c r="K3" s="26">
        <f>Returns_data!Q3</f>
        <v/>
      </c>
      <c r="L3" s="26">
        <f>Returns_data!H3</f>
        <v/>
      </c>
      <c r="M3" s="26">
        <f>Returns_data!K3</f>
        <v/>
      </c>
      <c r="N3" s="26">
        <f>Returns_data!B3</f>
        <v/>
      </c>
      <c r="O3" s="26">
        <f>Returns_data!F3</f>
        <v/>
      </c>
      <c r="P3" s="26">
        <f>Returns_data!I3</f>
        <v/>
      </c>
      <c r="Q3" s="26">
        <f>Returns_data!J3</f>
        <v/>
      </c>
      <c r="R3" s="26">
        <f>Returns_data!L3</f>
        <v/>
      </c>
      <c r="S3" s="26">
        <f>Returns_data!M3</f>
        <v/>
      </c>
      <c r="T3" s="26">
        <f>Returns_data!N3</f>
        <v/>
      </c>
      <c r="U3" s="26">
        <f>Returns_data!P3</f>
        <v/>
      </c>
      <c r="V3" s="26">
        <f>Returns_data!S3</f>
        <v/>
      </c>
      <c r="W3" s="26">
        <f>Returns_data!T3</f>
        <v/>
      </c>
      <c r="X3" s="26">
        <f>Returns_data!U3</f>
        <v/>
      </c>
      <c r="Y3" s="26">
        <f>Returns_data!W3</f>
        <v/>
      </c>
      <c r="Z3" s="26">
        <f>Returns_data!X3</f>
        <v/>
      </c>
      <c r="AA3" s="26">
        <f>Returns_data!Y3</f>
        <v/>
      </c>
      <c r="AB3" s="26">
        <f>Returns_data!AA3</f>
        <v/>
      </c>
      <c r="AC3" s="26">
        <f>Returns_data!AB3</f>
        <v/>
      </c>
      <c r="AD3" s="26">
        <f>Returns_data!AD3</f>
        <v/>
      </c>
      <c r="AE3" s="26">
        <f>Returns_data!AE3</f>
        <v/>
      </c>
      <c r="AF3" s="26">
        <f>Returns_data!AF3</f>
        <v/>
      </c>
      <c r="AG3" s="26">
        <f>Returns_data!AG3</f>
        <v/>
      </c>
      <c r="AH3" s="26">
        <f>Returns_data!AH3</f>
        <v/>
      </c>
      <c r="AI3" s="26">
        <f>Returns_data!AI3</f>
        <v/>
      </c>
      <c r="AJ3" s="26">
        <f>Returns_data!AJ3</f>
        <v/>
      </c>
      <c r="AK3" s="26">
        <f>Returns_data!AK3</f>
        <v/>
      </c>
      <c r="AL3" s="26">
        <f>Returns_data!AL3</f>
        <v/>
      </c>
      <c r="AM3" s="26">
        <f>Returns_data!AM3</f>
        <v/>
      </c>
      <c r="AN3" s="26">
        <f>Returns_data!AN3</f>
        <v/>
      </c>
    </row>
    <row r="4">
      <c r="A4" s="24" t="inlineStr">
        <is>
          <t>2015-03-01</t>
        </is>
      </c>
      <c r="B4" s="26">
        <f>Returns_data!R4</f>
        <v/>
      </c>
      <c r="C4" s="26">
        <f>Returns_data!Z4</f>
        <v/>
      </c>
      <c r="D4" s="26">
        <f>Returns_data!C4</f>
        <v/>
      </c>
      <c r="E4" s="26">
        <f>Returns_data!D4</f>
        <v/>
      </c>
      <c r="F4" s="26">
        <f>Returns_data!AC4</f>
        <v/>
      </c>
      <c r="G4" s="26">
        <f>Returns_data!E4</f>
        <v/>
      </c>
      <c r="H4" s="26">
        <f>Returns_data!V4</f>
        <v/>
      </c>
      <c r="I4" s="26">
        <f>Returns_data!G4</f>
        <v/>
      </c>
      <c r="J4" s="26">
        <f>Returns_data!O4</f>
        <v/>
      </c>
      <c r="K4" s="26">
        <f>Returns_data!Q4</f>
        <v/>
      </c>
      <c r="L4" s="26">
        <f>Returns_data!H4</f>
        <v/>
      </c>
      <c r="M4" s="26">
        <f>Returns_data!K4</f>
        <v/>
      </c>
      <c r="N4" s="26">
        <f>Returns_data!B4</f>
        <v/>
      </c>
      <c r="O4" s="26">
        <f>Returns_data!F4</f>
        <v/>
      </c>
      <c r="P4" s="26">
        <f>Returns_data!I4</f>
        <v/>
      </c>
      <c r="Q4" s="26">
        <f>Returns_data!J4</f>
        <v/>
      </c>
      <c r="R4" s="26">
        <f>Returns_data!L4</f>
        <v/>
      </c>
      <c r="S4" s="26">
        <f>Returns_data!M4</f>
        <v/>
      </c>
      <c r="T4" s="26">
        <f>Returns_data!N4</f>
        <v/>
      </c>
      <c r="U4" s="26">
        <f>Returns_data!P4</f>
        <v/>
      </c>
      <c r="V4" s="26">
        <f>Returns_data!S4</f>
        <v/>
      </c>
      <c r="W4" s="26">
        <f>Returns_data!T4</f>
        <v/>
      </c>
      <c r="X4" s="26">
        <f>Returns_data!U4</f>
        <v/>
      </c>
      <c r="Y4" s="26">
        <f>Returns_data!W4</f>
        <v/>
      </c>
      <c r="Z4" s="26">
        <f>Returns_data!X4</f>
        <v/>
      </c>
      <c r="AA4" s="26">
        <f>Returns_data!Y4</f>
        <v/>
      </c>
      <c r="AB4" s="26">
        <f>Returns_data!AA4</f>
        <v/>
      </c>
      <c r="AC4" s="26">
        <f>Returns_data!AB4</f>
        <v/>
      </c>
      <c r="AD4" s="26">
        <f>Returns_data!AD4</f>
        <v/>
      </c>
      <c r="AE4" s="26">
        <f>Returns_data!AE4</f>
        <v/>
      </c>
      <c r="AF4" s="26">
        <f>Returns_data!AF4</f>
        <v/>
      </c>
      <c r="AG4" s="26">
        <f>Returns_data!AG4</f>
        <v/>
      </c>
      <c r="AH4" s="26">
        <f>Returns_data!AH4</f>
        <v/>
      </c>
      <c r="AI4" s="26">
        <f>Returns_data!AI4</f>
        <v/>
      </c>
      <c r="AJ4" s="26">
        <f>Returns_data!AJ4</f>
        <v/>
      </c>
      <c r="AK4" s="26">
        <f>Returns_data!AK4</f>
        <v/>
      </c>
      <c r="AL4" s="26">
        <f>Returns_data!AL4</f>
        <v/>
      </c>
      <c r="AM4" s="26">
        <f>Returns_data!AM4</f>
        <v/>
      </c>
      <c r="AN4" s="26">
        <f>Returns_data!AN4</f>
        <v/>
      </c>
    </row>
    <row r="5">
      <c r="A5" s="24" t="inlineStr">
        <is>
          <t>2015-04-01</t>
        </is>
      </c>
      <c r="B5" s="26">
        <f>Returns_data!R5</f>
        <v/>
      </c>
      <c r="C5" s="26">
        <f>Returns_data!Z5</f>
        <v/>
      </c>
      <c r="D5" s="26">
        <f>Returns_data!C5</f>
        <v/>
      </c>
      <c r="E5" s="26">
        <f>Returns_data!D5</f>
        <v/>
      </c>
      <c r="F5" s="26">
        <f>Returns_data!AC5</f>
        <v/>
      </c>
      <c r="G5" s="26">
        <f>Returns_data!E5</f>
        <v/>
      </c>
      <c r="H5" s="26">
        <f>Returns_data!V5</f>
        <v/>
      </c>
      <c r="I5" s="26">
        <f>Returns_data!G5</f>
        <v/>
      </c>
      <c r="J5" s="26">
        <f>Returns_data!O5</f>
        <v/>
      </c>
      <c r="K5" s="26">
        <f>Returns_data!Q5</f>
        <v/>
      </c>
      <c r="L5" s="26">
        <f>Returns_data!H5</f>
        <v/>
      </c>
      <c r="M5" s="26">
        <f>Returns_data!K5</f>
        <v/>
      </c>
      <c r="N5" s="26">
        <f>Returns_data!B5</f>
        <v/>
      </c>
      <c r="O5" s="26">
        <f>Returns_data!F5</f>
        <v/>
      </c>
      <c r="P5" s="26">
        <f>Returns_data!I5</f>
        <v/>
      </c>
      <c r="Q5" s="26">
        <f>Returns_data!J5</f>
        <v/>
      </c>
      <c r="R5" s="26">
        <f>Returns_data!L5</f>
        <v/>
      </c>
      <c r="S5" s="26">
        <f>Returns_data!M5</f>
        <v/>
      </c>
      <c r="T5" s="26">
        <f>Returns_data!N5</f>
        <v/>
      </c>
      <c r="U5" s="26">
        <f>Returns_data!P5</f>
        <v/>
      </c>
      <c r="V5" s="26">
        <f>Returns_data!S5</f>
        <v/>
      </c>
      <c r="W5" s="26">
        <f>Returns_data!T5</f>
        <v/>
      </c>
      <c r="X5" s="26">
        <f>Returns_data!U5</f>
        <v/>
      </c>
      <c r="Y5" s="26">
        <f>Returns_data!W5</f>
        <v/>
      </c>
      <c r="Z5" s="26">
        <f>Returns_data!X5</f>
        <v/>
      </c>
      <c r="AA5" s="26">
        <f>Returns_data!Y5</f>
        <v/>
      </c>
      <c r="AB5" s="26">
        <f>Returns_data!AA5</f>
        <v/>
      </c>
      <c r="AC5" s="26">
        <f>Returns_data!AB5</f>
        <v/>
      </c>
      <c r="AD5" s="26">
        <f>Returns_data!AD5</f>
        <v/>
      </c>
      <c r="AE5" s="26">
        <f>Returns_data!AE5</f>
        <v/>
      </c>
      <c r="AF5" s="26">
        <f>Returns_data!AF5</f>
        <v/>
      </c>
      <c r="AG5" s="26">
        <f>Returns_data!AG5</f>
        <v/>
      </c>
      <c r="AH5" s="26">
        <f>Returns_data!AH5</f>
        <v/>
      </c>
      <c r="AI5" s="26">
        <f>Returns_data!AI5</f>
        <v/>
      </c>
      <c r="AJ5" s="26">
        <f>Returns_data!AJ5</f>
        <v/>
      </c>
      <c r="AK5" s="26">
        <f>Returns_data!AK5</f>
        <v/>
      </c>
      <c r="AL5" s="26">
        <f>Returns_data!AL5</f>
        <v/>
      </c>
      <c r="AM5" s="26">
        <f>Returns_data!AM5</f>
        <v/>
      </c>
      <c r="AN5" s="26">
        <f>Returns_data!AN5</f>
        <v/>
      </c>
    </row>
    <row r="6">
      <c r="A6" s="24" t="inlineStr">
        <is>
          <t>2015-05-01</t>
        </is>
      </c>
      <c r="B6" s="26">
        <f>Returns_data!R6</f>
        <v/>
      </c>
      <c r="C6" s="26">
        <f>Returns_data!Z6</f>
        <v/>
      </c>
      <c r="D6" s="26">
        <f>Returns_data!C6</f>
        <v/>
      </c>
      <c r="E6" s="26">
        <f>Returns_data!D6</f>
        <v/>
      </c>
      <c r="F6" s="26">
        <f>Returns_data!AC6</f>
        <v/>
      </c>
      <c r="G6" s="26">
        <f>Returns_data!E6</f>
        <v/>
      </c>
      <c r="H6" s="26">
        <f>Returns_data!V6</f>
        <v/>
      </c>
      <c r="I6" s="26">
        <f>Returns_data!G6</f>
        <v/>
      </c>
      <c r="J6" s="26">
        <f>Returns_data!O6</f>
        <v/>
      </c>
      <c r="K6" s="26">
        <f>Returns_data!Q6</f>
        <v/>
      </c>
      <c r="L6" s="26">
        <f>Returns_data!H6</f>
        <v/>
      </c>
      <c r="M6" s="26">
        <f>Returns_data!K6</f>
        <v/>
      </c>
      <c r="N6" s="26">
        <f>Returns_data!B6</f>
        <v/>
      </c>
      <c r="O6" s="26">
        <f>Returns_data!F6</f>
        <v/>
      </c>
      <c r="P6" s="26">
        <f>Returns_data!I6</f>
        <v/>
      </c>
      <c r="Q6" s="26">
        <f>Returns_data!J6</f>
        <v/>
      </c>
      <c r="R6" s="26">
        <f>Returns_data!L6</f>
        <v/>
      </c>
      <c r="S6" s="26">
        <f>Returns_data!M6</f>
        <v/>
      </c>
      <c r="T6" s="26">
        <f>Returns_data!N6</f>
        <v/>
      </c>
      <c r="U6" s="26">
        <f>Returns_data!P6</f>
        <v/>
      </c>
      <c r="V6" s="26">
        <f>Returns_data!S6</f>
        <v/>
      </c>
      <c r="W6" s="26">
        <f>Returns_data!T6</f>
        <v/>
      </c>
      <c r="X6" s="26">
        <f>Returns_data!U6</f>
        <v/>
      </c>
      <c r="Y6" s="26">
        <f>Returns_data!W6</f>
        <v/>
      </c>
      <c r="Z6" s="26">
        <f>Returns_data!X6</f>
        <v/>
      </c>
      <c r="AA6" s="26">
        <f>Returns_data!Y6</f>
        <v/>
      </c>
      <c r="AB6" s="26">
        <f>Returns_data!AA6</f>
        <v/>
      </c>
      <c r="AC6" s="26">
        <f>Returns_data!AB6</f>
        <v/>
      </c>
      <c r="AD6" s="26">
        <f>Returns_data!AD6</f>
        <v/>
      </c>
      <c r="AE6" s="26">
        <f>Returns_data!AE6</f>
        <v/>
      </c>
      <c r="AF6" s="26">
        <f>Returns_data!AF6</f>
        <v/>
      </c>
      <c r="AG6" s="26">
        <f>Returns_data!AG6</f>
        <v/>
      </c>
      <c r="AH6" s="26">
        <f>Returns_data!AH6</f>
        <v/>
      </c>
      <c r="AI6" s="26">
        <f>Returns_data!AI6</f>
        <v/>
      </c>
      <c r="AJ6" s="26">
        <f>Returns_data!AJ6</f>
        <v/>
      </c>
      <c r="AK6" s="26">
        <f>Returns_data!AK6</f>
        <v/>
      </c>
      <c r="AL6" s="26">
        <f>Returns_data!AL6</f>
        <v/>
      </c>
      <c r="AM6" s="26">
        <f>Returns_data!AM6</f>
        <v/>
      </c>
      <c r="AN6" s="26">
        <f>Returns_data!AN6</f>
        <v/>
      </c>
    </row>
    <row r="7">
      <c r="A7" s="24" t="inlineStr">
        <is>
          <t>2015-06-01</t>
        </is>
      </c>
      <c r="B7" s="26">
        <f>Returns_data!R7</f>
        <v/>
      </c>
      <c r="C7" s="26">
        <f>Returns_data!Z7</f>
        <v/>
      </c>
      <c r="D7" s="26">
        <f>Returns_data!C7</f>
        <v/>
      </c>
      <c r="E7" s="26">
        <f>Returns_data!D7</f>
        <v/>
      </c>
      <c r="F7" s="26">
        <f>Returns_data!AC7</f>
        <v/>
      </c>
      <c r="G7" s="26">
        <f>Returns_data!E7</f>
        <v/>
      </c>
      <c r="H7" s="26">
        <f>Returns_data!V7</f>
        <v/>
      </c>
      <c r="I7" s="26">
        <f>Returns_data!G7</f>
        <v/>
      </c>
      <c r="J7" s="26">
        <f>Returns_data!O7</f>
        <v/>
      </c>
      <c r="K7" s="26">
        <f>Returns_data!Q7</f>
        <v/>
      </c>
      <c r="L7" s="26">
        <f>Returns_data!H7</f>
        <v/>
      </c>
      <c r="M7" s="26">
        <f>Returns_data!K7</f>
        <v/>
      </c>
      <c r="N7" s="26">
        <f>Returns_data!B7</f>
        <v/>
      </c>
      <c r="O7" s="26">
        <f>Returns_data!F7</f>
        <v/>
      </c>
      <c r="P7" s="26">
        <f>Returns_data!I7</f>
        <v/>
      </c>
      <c r="Q7" s="26">
        <f>Returns_data!J7</f>
        <v/>
      </c>
      <c r="R7" s="26">
        <f>Returns_data!L7</f>
        <v/>
      </c>
      <c r="S7" s="26">
        <f>Returns_data!M7</f>
        <v/>
      </c>
      <c r="T7" s="26">
        <f>Returns_data!N7</f>
        <v/>
      </c>
      <c r="U7" s="26">
        <f>Returns_data!P7</f>
        <v/>
      </c>
      <c r="V7" s="26">
        <f>Returns_data!S7</f>
        <v/>
      </c>
      <c r="W7" s="26">
        <f>Returns_data!T7</f>
        <v/>
      </c>
      <c r="X7" s="26">
        <f>Returns_data!U7</f>
        <v/>
      </c>
      <c r="Y7" s="26">
        <f>Returns_data!W7</f>
        <v/>
      </c>
      <c r="Z7" s="26">
        <f>Returns_data!X7</f>
        <v/>
      </c>
      <c r="AA7" s="26">
        <f>Returns_data!Y7</f>
        <v/>
      </c>
      <c r="AB7" s="26">
        <f>Returns_data!AA7</f>
        <v/>
      </c>
      <c r="AC7" s="26">
        <f>Returns_data!AB7</f>
        <v/>
      </c>
      <c r="AD7" s="26">
        <f>Returns_data!AD7</f>
        <v/>
      </c>
      <c r="AE7" s="26">
        <f>Returns_data!AE7</f>
        <v/>
      </c>
      <c r="AF7" s="26">
        <f>Returns_data!AF7</f>
        <v/>
      </c>
      <c r="AG7" s="26">
        <f>Returns_data!AG7</f>
        <v/>
      </c>
      <c r="AH7" s="26">
        <f>Returns_data!AH7</f>
        <v/>
      </c>
      <c r="AI7" s="26">
        <f>Returns_data!AI7</f>
        <v/>
      </c>
      <c r="AJ7" s="26">
        <f>Returns_data!AJ7</f>
        <v/>
      </c>
      <c r="AK7" s="26">
        <f>Returns_data!AK7</f>
        <v/>
      </c>
      <c r="AL7" s="26">
        <f>Returns_data!AL7</f>
        <v/>
      </c>
      <c r="AM7" s="26">
        <f>Returns_data!AM7</f>
        <v/>
      </c>
      <c r="AN7" s="26">
        <f>Returns_data!AN7</f>
        <v/>
      </c>
    </row>
    <row r="8">
      <c r="A8" s="24" t="inlineStr">
        <is>
          <t>2015-07-01</t>
        </is>
      </c>
      <c r="B8" s="26">
        <f>Returns_data!R8</f>
        <v/>
      </c>
      <c r="C8" s="26">
        <f>Returns_data!Z8</f>
        <v/>
      </c>
      <c r="D8" s="26">
        <f>Returns_data!C8</f>
        <v/>
      </c>
      <c r="E8" s="26">
        <f>Returns_data!D8</f>
        <v/>
      </c>
      <c r="F8" s="26">
        <f>Returns_data!AC8</f>
        <v/>
      </c>
      <c r="G8" s="26">
        <f>Returns_data!E8</f>
        <v/>
      </c>
      <c r="H8" s="26">
        <f>Returns_data!V8</f>
        <v/>
      </c>
      <c r="I8" s="26">
        <f>Returns_data!G8</f>
        <v/>
      </c>
      <c r="J8" s="26">
        <f>Returns_data!O8</f>
        <v/>
      </c>
      <c r="K8" s="26">
        <f>Returns_data!Q8</f>
        <v/>
      </c>
      <c r="L8" s="26">
        <f>Returns_data!H8</f>
        <v/>
      </c>
      <c r="M8" s="26">
        <f>Returns_data!K8</f>
        <v/>
      </c>
      <c r="N8" s="26">
        <f>Returns_data!B8</f>
        <v/>
      </c>
      <c r="O8" s="26">
        <f>Returns_data!F8</f>
        <v/>
      </c>
      <c r="P8" s="26">
        <f>Returns_data!I8</f>
        <v/>
      </c>
      <c r="Q8" s="26">
        <f>Returns_data!J8</f>
        <v/>
      </c>
      <c r="R8" s="26">
        <f>Returns_data!L8</f>
        <v/>
      </c>
      <c r="S8" s="26">
        <f>Returns_data!M8</f>
        <v/>
      </c>
      <c r="T8" s="26">
        <f>Returns_data!N8</f>
        <v/>
      </c>
      <c r="U8" s="26">
        <f>Returns_data!P8</f>
        <v/>
      </c>
      <c r="V8" s="26">
        <f>Returns_data!S8</f>
        <v/>
      </c>
      <c r="W8" s="26">
        <f>Returns_data!T8</f>
        <v/>
      </c>
      <c r="X8" s="26">
        <f>Returns_data!U8</f>
        <v/>
      </c>
      <c r="Y8" s="26">
        <f>Returns_data!W8</f>
        <v/>
      </c>
      <c r="Z8" s="26">
        <f>Returns_data!X8</f>
        <v/>
      </c>
      <c r="AA8" s="26">
        <f>Returns_data!Y8</f>
        <v/>
      </c>
      <c r="AB8" s="26">
        <f>Returns_data!AA8</f>
        <v/>
      </c>
      <c r="AC8" s="26">
        <f>Returns_data!AB8</f>
        <v/>
      </c>
      <c r="AD8" s="26">
        <f>Returns_data!AD8</f>
        <v/>
      </c>
      <c r="AE8" s="26">
        <f>Returns_data!AE8</f>
        <v/>
      </c>
      <c r="AF8" s="26">
        <f>Returns_data!AF8</f>
        <v/>
      </c>
      <c r="AG8" s="26">
        <f>Returns_data!AG8</f>
        <v/>
      </c>
      <c r="AH8" s="26">
        <f>Returns_data!AH8</f>
        <v/>
      </c>
      <c r="AI8" s="26">
        <f>Returns_data!AI8</f>
        <v/>
      </c>
      <c r="AJ8" s="26">
        <f>Returns_data!AJ8</f>
        <v/>
      </c>
      <c r="AK8" s="26">
        <f>Returns_data!AK8</f>
        <v/>
      </c>
      <c r="AL8" s="26">
        <f>Returns_data!AL8</f>
        <v/>
      </c>
      <c r="AM8" s="26">
        <f>Returns_data!AM8</f>
        <v/>
      </c>
      <c r="AN8" s="26">
        <f>Returns_data!AN8</f>
        <v/>
      </c>
    </row>
    <row r="9">
      <c r="A9" s="24" t="inlineStr">
        <is>
          <t>2015-08-01</t>
        </is>
      </c>
      <c r="B9" s="26">
        <f>Returns_data!R9</f>
        <v/>
      </c>
      <c r="C9" s="26">
        <f>Returns_data!Z9</f>
        <v/>
      </c>
      <c r="D9" s="26">
        <f>Returns_data!C9</f>
        <v/>
      </c>
      <c r="E9" s="26">
        <f>Returns_data!D9</f>
        <v/>
      </c>
      <c r="F9" s="26">
        <f>Returns_data!AC9</f>
        <v/>
      </c>
      <c r="G9" s="26">
        <f>Returns_data!E9</f>
        <v/>
      </c>
      <c r="H9" s="26">
        <f>Returns_data!V9</f>
        <v/>
      </c>
      <c r="I9" s="26">
        <f>Returns_data!G9</f>
        <v/>
      </c>
      <c r="J9" s="26">
        <f>Returns_data!O9</f>
        <v/>
      </c>
      <c r="K9" s="26">
        <f>Returns_data!Q9</f>
        <v/>
      </c>
      <c r="L9" s="26">
        <f>Returns_data!H9</f>
        <v/>
      </c>
      <c r="M9" s="26">
        <f>Returns_data!K9</f>
        <v/>
      </c>
      <c r="N9" s="26">
        <f>Returns_data!B9</f>
        <v/>
      </c>
      <c r="O9" s="26">
        <f>Returns_data!F9</f>
        <v/>
      </c>
      <c r="P9" s="26">
        <f>Returns_data!I9</f>
        <v/>
      </c>
      <c r="Q9" s="26">
        <f>Returns_data!J9</f>
        <v/>
      </c>
      <c r="R9" s="26">
        <f>Returns_data!L9</f>
        <v/>
      </c>
      <c r="S9" s="26">
        <f>Returns_data!M9</f>
        <v/>
      </c>
      <c r="T9" s="26">
        <f>Returns_data!N9</f>
        <v/>
      </c>
      <c r="U9" s="26">
        <f>Returns_data!P9</f>
        <v/>
      </c>
      <c r="V9" s="26">
        <f>Returns_data!S9</f>
        <v/>
      </c>
      <c r="W9" s="26">
        <f>Returns_data!T9</f>
        <v/>
      </c>
      <c r="X9" s="26">
        <f>Returns_data!U9</f>
        <v/>
      </c>
      <c r="Y9" s="26">
        <f>Returns_data!W9</f>
        <v/>
      </c>
      <c r="Z9" s="26">
        <f>Returns_data!X9</f>
        <v/>
      </c>
      <c r="AA9" s="26">
        <f>Returns_data!Y9</f>
        <v/>
      </c>
      <c r="AB9" s="26">
        <f>Returns_data!AA9</f>
        <v/>
      </c>
      <c r="AC9" s="26">
        <f>Returns_data!AB9</f>
        <v/>
      </c>
      <c r="AD9" s="26">
        <f>Returns_data!AD9</f>
        <v/>
      </c>
      <c r="AE9" s="26">
        <f>Returns_data!AE9</f>
        <v/>
      </c>
      <c r="AF9" s="26">
        <f>Returns_data!AF9</f>
        <v/>
      </c>
      <c r="AG9" s="26">
        <f>Returns_data!AG9</f>
        <v/>
      </c>
      <c r="AH9" s="26">
        <f>Returns_data!AH9</f>
        <v/>
      </c>
      <c r="AI9" s="26">
        <f>Returns_data!AI9</f>
        <v/>
      </c>
      <c r="AJ9" s="26">
        <f>Returns_data!AJ9</f>
        <v/>
      </c>
      <c r="AK9" s="26">
        <f>Returns_data!AK9</f>
        <v/>
      </c>
      <c r="AL9" s="26">
        <f>Returns_data!AL9</f>
        <v/>
      </c>
      <c r="AM9" s="26">
        <f>Returns_data!AM9</f>
        <v/>
      </c>
      <c r="AN9" s="26">
        <f>Returns_data!AN9</f>
        <v/>
      </c>
    </row>
    <row r="10">
      <c r="A10" s="24" t="inlineStr">
        <is>
          <t>2015-09-01</t>
        </is>
      </c>
      <c r="B10" s="26">
        <f>Returns_data!R10</f>
        <v/>
      </c>
      <c r="C10" s="26">
        <f>Returns_data!Z10</f>
        <v/>
      </c>
      <c r="D10" s="26">
        <f>Returns_data!C10</f>
        <v/>
      </c>
      <c r="E10" s="26">
        <f>Returns_data!D10</f>
        <v/>
      </c>
      <c r="F10" s="26">
        <f>Returns_data!AC10</f>
        <v/>
      </c>
      <c r="G10" s="26">
        <f>Returns_data!E10</f>
        <v/>
      </c>
      <c r="H10" s="26">
        <f>Returns_data!V10</f>
        <v/>
      </c>
      <c r="I10" s="26">
        <f>Returns_data!G10</f>
        <v/>
      </c>
      <c r="J10" s="26">
        <f>Returns_data!O10</f>
        <v/>
      </c>
      <c r="K10" s="26">
        <f>Returns_data!Q10</f>
        <v/>
      </c>
      <c r="L10" s="26">
        <f>Returns_data!H10</f>
        <v/>
      </c>
      <c r="M10" s="26">
        <f>Returns_data!K10</f>
        <v/>
      </c>
      <c r="N10" s="26">
        <f>Returns_data!B10</f>
        <v/>
      </c>
      <c r="O10" s="26">
        <f>Returns_data!F10</f>
        <v/>
      </c>
      <c r="P10" s="26">
        <f>Returns_data!I10</f>
        <v/>
      </c>
      <c r="Q10" s="26">
        <f>Returns_data!J10</f>
        <v/>
      </c>
      <c r="R10" s="26">
        <f>Returns_data!L10</f>
        <v/>
      </c>
      <c r="S10" s="26">
        <f>Returns_data!M10</f>
        <v/>
      </c>
      <c r="T10" s="26">
        <f>Returns_data!N10</f>
        <v/>
      </c>
      <c r="U10" s="26">
        <f>Returns_data!P10</f>
        <v/>
      </c>
      <c r="V10" s="26">
        <f>Returns_data!S10</f>
        <v/>
      </c>
      <c r="W10" s="26">
        <f>Returns_data!T10</f>
        <v/>
      </c>
      <c r="X10" s="26">
        <f>Returns_data!U10</f>
        <v/>
      </c>
      <c r="Y10" s="26">
        <f>Returns_data!W10</f>
        <v/>
      </c>
      <c r="Z10" s="26">
        <f>Returns_data!X10</f>
        <v/>
      </c>
      <c r="AA10" s="26">
        <f>Returns_data!Y10</f>
        <v/>
      </c>
      <c r="AB10" s="26">
        <f>Returns_data!AA10</f>
        <v/>
      </c>
      <c r="AC10" s="26">
        <f>Returns_data!AB10</f>
        <v/>
      </c>
      <c r="AD10" s="26">
        <f>Returns_data!AD10</f>
        <v/>
      </c>
      <c r="AE10" s="26">
        <f>Returns_data!AE10</f>
        <v/>
      </c>
      <c r="AF10" s="26">
        <f>Returns_data!AF10</f>
        <v/>
      </c>
      <c r="AG10" s="26">
        <f>Returns_data!AG10</f>
        <v/>
      </c>
      <c r="AH10" s="26">
        <f>Returns_data!AH10</f>
        <v/>
      </c>
      <c r="AI10" s="26">
        <f>Returns_data!AI10</f>
        <v/>
      </c>
      <c r="AJ10" s="26">
        <f>Returns_data!AJ10</f>
        <v/>
      </c>
      <c r="AK10" s="26">
        <f>Returns_data!AK10</f>
        <v/>
      </c>
      <c r="AL10" s="26">
        <f>Returns_data!AL10</f>
        <v/>
      </c>
      <c r="AM10" s="26">
        <f>Returns_data!AM10</f>
        <v/>
      </c>
      <c r="AN10" s="26">
        <f>Returns_data!AN10</f>
        <v/>
      </c>
    </row>
    <row r="11">
      <c r="A11" s="24" t="inlineStr">
        <is>
          <t>2015-10-01</t>
        </is>
      </c>
      <c r="B11" s="26">
        <f>Returns_data!R11</f>
        <v/>
      </c>
      <c r="C11" s="26">
        <f>Returns_data!Z11</f>
        <v/>
      </c>
      <c r="D11" s="26">
        <f>Returns_data!C11</f>
        <v/>
      </c>
      <c r="E11" s="26">
        <f>Returns_data!D11</f>
        <v/>
      </c>
      <c r="F11" s="26">
        <f>Returns_data!AC11</f>
        <v/>
      </c>
      <c r="G11" s="26">
        <f>Returns_data!E11</f>
        <v/>
      </c>
      <c r="H11" s="26">
        <f>Returns_data!V11</f>
        <v/>
      </c>
      <c r="I11" s="26">
        <f>Returns_data!G11</f>
        <v/>
      </c>
      <c r="J11" s="26">
        <f>Returns_data!O11</f>
        <v/>
      </c>
      <c r="K11" s="26">
        <f>Returns_data!Q11</f>
        <v/>
      </c>
      <c r="L11" s="26">
        <f>Returns_data!H11</f>
        <v/>
      </c>
      <c r="M11" s="26">
        <f>Returns_data!K11</f>
        <v/>
      </c>
      <c r="N11" s="26">
        <f>Returns_data!B11</f>
        <v/>
      </c>
      <c r="O11" s="26">
        <f>Returns_data!F11</f>
        <v/>
      </c>
      <c r="P11" s="26">
        <f>Returns_data!I11</f>
        <v/>
      </c>
      <c r="Q11" s="26">
        <f>Returns_data!J11</f>
        <v/>
      </c>
      <c r="R11" s="26">
        <f>Returns_data!L11</f>
        <v/>
      </c>
      <c r="S11" s="26">
        <f>Returns_data!M11</f>
        <v/>
      </c>
      <c r="T11" s="26">
        <f>Returns_data!N11</f>
        <v/>
      </c>
      <c r="U11" s="26">
        <f>Returns_data!P11</f>
        <v/>
      </c>
      <c r="V11" s="26">
        <f>Returns_data!S11</f>
        <v/>
      </c>
      <c r="W11" s="26">
        <f>Returns_data!T11</f>
        <v/>
      </c>
      <c r="X11" s="26">
        <f>Returns_data!U11</f>
        <v/>
      </c>
      <c r="Y11" s="26">
        <f>Returns_data!W11</f>
        <v/>
      </c>
      <c r="Z11" s="26">
        <f>Returns_data!X11</f>
        <v/>
      </c>
      <c r="AA11" s="26">
        <f>Returns_data!Y11</f>
        <v/>
      </c>
      <c r="AB11" s="26">
        <f>Returns_data!AA11</f>
        <v/>
      </c>
      <c r="AC11" s="26">
        <f>Returns_data!AB11</f>
        <v/>
      </c>
      <c r="AD11" s="26">
        <f>Returns_data!AD11</f>
        <v/>
      </c>
      <c r="AE11" s="26">
        <f>Returns_data!AE11</f>
        <v/>
      </c>
      <c r="AF11" s="26">
        <f>Returns_data!AF11</f>
        <v/>
      </c>
      <c r="AG11" s="26">
        <f>Returns_data!AG11</f>
        <v/>
      </c>
      <c r="AH11" s="26">
        <f>Returns_data!AH11</f>
        <v/>
      </c>
      <c r="AI11" s="26">
        <f>Returns_data!AI11</f>
        <v/>
      </c>
      <c r="AJ11" s="26">
        <f>Returns_data!AJ11</f>
        <v/>
      </c>
      <c r="AK11" s="26">
        <f>Returns_data!AK11</f>
        <v/>
      </c>
      <c r="AL11" s="26">
        <f>Returns_data!AL11</f>
        <v/>
      </c>
      <c r="AM11" s="26">
        <f>Returns_data!AM11</f>
        <v/>
      </c>
      <c r="AN11" s="26">
        <f>Returns_data!AN11</f>
        <v/>
      </c>
    </row>
    <row r="12">
      <c r="A12" s="24" t="inlineStr">
        <is>
          <t>2015-11-01</t>
        </is>
      </c>
      <c r="B12" s="26">
        <f>Returns_data!R12</f>
        <v/>
      </c>
      <c r="C12" s="26">
        <f>Returns_data!Z12</f>
        <v/>
      </c>
      <c r="D12" s="26">
        <f>Returns_data!C12</f>
        <v/>
      </c>
      <c r="E12" s="26">
        <f>Returns_data!D12</f>
        <v/>
      </c>
      <c r="F12" s="26">
        <f>Returns_data!AC12</f>
        <v/>
      </c>
      <c r="G12" s="26">
        <f>Returns_data!E12</f>
        <v/>
      </c>
      <c r="H12" s="26">
        <f>Returns_data!V12</f>
        <v/>
      </c>
      <c r="I12" s="26">
        <f>Returns_data!G12</f>
        <v/>
      </c>
      <c r="J12" s="26">
        <f>Returns_data!O12</f>
        <v/>
      </c>
      <c r="K12" s="26">
        <f>Returns_data!Q12</f>
        <v/>
      </c>
      <c r="L12" s="26">
        <f>Returns_data!H12</f>
        <v/>
      </c>
      <c r="M12" s="26">
        <f>Returns_data!K12</f>
        <v/>
      </c>
      <c r="N12" s="26">
        <f>Returns_data!B12</f>
        <v/>
      </c>
      <c r="O12" s="26">
        <f>Returns_data!F12</f>
        <v/>
      </c>
      <c r="P12" s="26">
        <f>Returns_data!I12</f>
        <v/>
      </c>
      <c r="Q12" s="26">
        <f>Returns_data!J12</f>
        <v/>
      </c>
      <c r="R12" s="26">
        <f>Returns_data!L12</f>
        <v/>
      </c>
      <c r="S12" s="26">
        <f>Returns_data!M12</f>
        <v/>
      </c>
      <c r="T12" s="26">
        <f>Returns_data!N12</f>
        <v/>
      </c>
      <c r="U12" s="26">
        <f>Returns_data!P12</f>
        <v/>
      </c>
      <c r="V12" s="26">
        <f>Returns_data!S12</f>
        <v/>
      </c>
      <c r="W12" s="26">
        <f>Returns_data!T12</f>
        <v/>
      </c>
      <c r="X12" s="26">
        <f>Returns_data!U12</f>
        <v/>
      </c>
      <c r="Y12" s="26">
        <f>Returns_data!W12</f>
        <v/>
      </c>
      <c r="Z12" s="26">
        <f>Returns_data!X12</f>
        <v/>
      </c>
      <c r="AA12" s="26">
        <f>Returns_data!Y12</f>
        <v/>
      </c>
      <c r="AB12" s="26">
        <f>Returns_data!AA12</f>
        <v/>
      </c>
      <c r="AC12" s="26">
        <f>Returns_data!AB12</f>
        <v/>
      </c>
      <c r="AD12" s="26">
        <f>Returns_data!AD12</f>
        <v/>
      </c>
      <c r="AE12" s="26">
        <f>Returns_data!AE12</f>
        <v/>
      </c>
      <c r="AF12" s="26">
        <f>Returns_data!AF12</f>
        <v/>
      </c>
      <c r="AG12" s="26">
        <f>Returns_data!AG12</f>
        <v/>
      </c>
      <c r="AH12" s="26">
        <f>Returns_data!AH12</f>
        <v/>
      </c>
      <c r="AI12" s="26">
        <f>Returns_data!AI12</f>
        <v/>
      </c>
      <c r="AJ12" s="26">
        <f>Returns_data!AJ12</f>
        <v/>
      </c>
      <c r="AK12" s="26">
        <f>Returns_data!AK12</f>
        <v/>
      </c>
      <c r="AL12" s="26">
        <f>Returns_data!AL12</f>
        <v/>
      </c>
      <c r="AM12" s="26">
        <f>Returns_data!AM12</f>
        <v/>
      </c>
      <c r="AN12" s="26">
        <f>Returns_data!AN12</f>
        <v/>
      </c>
    </row>
    <row r="13">
      <c r="A13" s="24" t="inlineStr">
        <is>
          <t>2015-12-01</t>
        </is>
      </c>
      <c r="B13" s="26">
        <f>Returns_data!R13</f>
        <v/>
      </c>
      <c r="C13" s="26">
        <f>Returns_data!Z13</f>
        <v/>
      </c>
      <c r="D13" s="26">
        <f>Returns_data!C13</f>
        <v/>
      </c>
      <c r="E13" s="26">
        <f>Returns_data!D13</f>
        <v/>
      </c>
      <c r="F13" s="26">
        <f>Returns_data!AC13</f>
        <v/>
      </c>
      <c r="G13" s="26">
        <f>Returns_data!E13</f>
        <v/>
      </c>
      <c r="H13" s="26">
        <f>Returns_data!V13</f>
        <v/>
      </c>
      <c r="I13" s="26">
        <f>Returns_data!G13</f>
        <v/>
      </c>
      <c r="J13" s="26">
        <f>Returns_data!O13</f>
        <v/>
      </c>
      <c r="K13" s="26">
        <f>Returns_data!Q13</f>
        <v/>
      </c>
      <c r="L13" s="26">
        <f>Returns_data!H13</f>
        <v/>
      </c>
      <c r="M13" s="26">
        <f>Returns_data!K13</f>
        <v/>
      </c>
      <c r="N13" s="26">
        <f>Returns_data!B13</f>
        <v/>
      </c>
      <c r="O13" s="26">
        <f>Returns_data!F13</f>
        <v/>
      </c>
      <c r="P13" s="26">
        <f>Returns_data!I13</f>
        <v/>
      </c>
      <c r="Q13" s="26">
        <f>Returns_data!J13</f>
        <v/>
      </c>
      <c r="R13" s="26">
        <f>Returns_data!L13</f>
        <v/>
      </c>
      <c r="S13" s="26">
        <f>Returns_data!M13</f>
        <v/>
      </c>
      <c r="T13" s="26">
        <f>Returns_data!N13</f>
        <v/>
      </c>
      <c r="U13" s="26">
        <f>Returns_data!P13</f>
        <v/>
      </c>
      <c r="V13" s="26">
        <f>Returns_data!S13</f>
        <v/>
      </c>
      <c r="W13" s="26">
        <f>Returns_data!T13</f>
        <v/>
      </c>
      <c r="X13" s="26">
        <f>Returns_data!U13</f>
        <v/>
      </c>
      <c r="Y13" s="26">
        <f>Returns_data!W13</f>
        <v/>
      </c>
      <c r="Z13" s="26">
        <f>Returns_data!X13</f>
        <v/>
      </c>
      <c r="AA13" s="26">
        <f>Returns_data!Y13</f>
        <v/>
      </c>
      <c r="AB13" s="26">
        <f>Returns_data!AA13</f>
        <v/>
      </c>
      <c r="AC13" s="26">
        <f>Returns_data!AB13</f>
        <v/>
      </c>
      <c r="AD13" s="26">
        <f>Returns_data!AD13</f>
        <v/>
      </c>
      <c r="AE13" s="26">
        <f>Returns_data!AE13</f>
        <v/>
      </c>
      <c r="AF13" s="26">
        <f>Returns_data!AF13</f>
        <v/>
      </c>
      <c r="AG13" s="26">
        <f>Returns_data!AG13</f>
        <v/>
      </c>
      <c r="AH13" s="26">
        <f>Returns_data!AH13</f>
        <v/>
      </c>
      <c r="AI13" s="26">
        <f>Returns_data!AI13</f>
        <v/>
      </c>
      <c r="AJ13" s="26">
        <f>Returns_data!AJ13</f>
        <v/>
      </c>
      <c r="AK13" s="26">
        <f>Returns_data!AK13</f>
        <v/>
      </c>
      <c r="AL13" s="26">
        <f>Returns_data!AL13</f>
        <v/>
      </c>
      <c r="AM13" s="26">
        <f>Returns_data!AM13</f>
        <v/>
      </c>
      <c r="AN13" s="26">
        <f>Returns_data!AN13</f>
        <v/>
      </c>
    </row>
    <row r="14">
      <c r="A14" s="24" t="inlineStr">
        <is>
          <t>2016-01-01</t>
        </is>
      </c>
      <c r="B14" s="26">
        <f>Returns_data!R14</f>
        <v/>
      </c>
      <c r="C14" s="26">
        <f>Returns_data!Z14</f>
        <v/>
      </c>
      <c r="D14" s="26">
        <f>Returns_data!C14</f>
        <v/>
      </c>
      <c r="E14" s="26">
        <f>Returns_data!D14</f>
        <v/>
      </c>
      <c r="F14" s="26">
        <f>Returns_data!AC14</f>
        <v/>
      </c>
      <c r="G14" s="26">
        <f>Returns_data!E14</f>
        <v/>
      </c>
      <c r="H14" s="26">
        <f>Returns_data!V14</f>
        <v/>
      </c>
      <c r="I14" s="26">
        <f>Returns_data!G14</f>
        <v/>
      </c>
      <c r="J14" s="26">
        <f>Returns_data!O14</f>
        <v/>
      </c>
      <c r="K14" s="26">
        <f>Returns_data!Q14</f>
        <v/>
      </c>
      <c r="L14" s="26">
        <f>Returns_data!H14</f>
        <v/>
      </c>
      <c r="M14" s="26">
        <f>Returns_data!K14</f>
        <v/>
      </c>
      <c r="N14" s="26">
        <f>Returns_data!B14</f>
        <v/>
      </c>
      <c r="O14" s="26">
        <f>Returns_data!F14</f>
        <v/>
      </c>
      <c r="P14" s="26">
        <f>Returns_data!I14</f>
        <v/>
      </c>
      <c r="Q14" s="26">
        <f>Returns_data!J14</f>
        <v/>
      </c>
      <c r="R14" s="26">
        <f>Returns_data!L14</f>
        <v/>
      </c>
      <c r="S14" s="26">
        <f>Returns_data!M14</f>
        <v/>
      </c>
      <c r="T14" s="26">
        <f>Returns_data!N14</f>
        <v/>
      </c>
      <c r="U14" s="26">
        <f>Returns_data!P14</f>
        <v/>
      </c>
      <c r="V14" s="26">
        <f>Returns_data!S14</f>
        <v/>
      </c>
      <c r="W14" s="26">
        <f>Returns_data!T14</f>
        <v/>
      </c>
      <c r="X14" s="26">
        <f>Returns_data!U14</f>
        <v/>
      </c>
      <c r="Y14" s="26">
        <f>Returns_data!W14</f>
        <v/>
      </c>
      <c r="Z14" s="26">
        <f>Returns_data!X14</f>
        <v/>
      </c>
      <c r="AA14" s="26">
        <f>Returns_data!Y14</f>
        <v/>
      </c>
      <c r="AB14" s="26">
        <f>Returns_data!AA14</f>
        <v/>
      </c>
      <c r="AC14" s="26">
        <f>Returns_data!AB14</f>
        <v/>
      </c>
      <c r="AD14" s="26">
        <f>Returns_data!AD14</f>
        <v/>
      </c>
      <c r="AE14" s="26">
        <f>Returns_data!AE14</f>
        <v/>
      </c>
      <c r="AF14" s="26">
        <f>Returns_data!AF14</f>
        <v/>
      </c>
      <c r="AG14" s="26">
        <f>Returns_data!AG14</f>
        <v/>
      </c>
      <c r="AH14" s="26">
        <f>Returns_data!AH14</f>
        <v/>
      </c>
      <c r="AI14" s="26">
        <f>Returns_data!AI14</f>
        <v/>
      </c>
      <c r="AJ14" s="26">
        <f>Returns_data!AJ14</f>
        <v/>
      </c>
      <c r="AK14" s="26">
        <f>Returns_data!AK14</f>
        <v/>
      </c>
      <c r="AL14" s="26">
        <f>Returns_data!AL14</f>
        <v/>
      </c>
      <c r="AM14" s="26">
        <f>Returns_data!AM14</f>
        <v/>
      </c>
      <c r="AN14" s="26">
        <f>Returns_data!AN14</f>
        <v/>
      </c>
    </row>
    <row r="15">
      <c r="A15" s="24" t="inlineStr">
        <is>
          <t>2016-02-01</t>
        </is>
      </c>
      <c r="B15" s="26">
        <f>Returns_data!R15</f>
        <v/>
      </c>
      <c r="C15" s="26">
        <f>Returns_data!Z15</f>
        <v/>
      </c>
      <c r="D15" s="26">
        <f>Returns_data!C15</f>
        <v/>
      </c>
      <c r="E15" s="26">
        <f>Returns_data!D15</f>
        <v/>
      </c>
      <c r="F15" s="26">
        <f>Returns_data!AC15</f>
        <v/>
      </c>
      <c r="G15" s="26">
        <f>Returns_data!E15</f>
        <v/>
      </c>
      <c r="H15" s="26">
        <f>Returns_data!V15</f>
        <v/>
      </c>
      <c r="I15" s="26">
        <f>Returns_data!G15</f>
        <v/>
      </c>
      <c r="J15" s="26">
        <f>Returns_data!O15</f>
        <v/>
      </c>
      <c r="K15" s="26">
        <f>Returns_data!Q15</f>
        <v/>
      </c>
      <c r="L15" s="26">
        <f>Returns_data!H15</f>
        <v/>
      </c>
      <c r="M15" s="26">
        <f>Returns_data!K15</f>
        <v/>
      </c>
      <c r="N15" s="26">
        <f>Returns_data!B15</f>
        <v/>
      </c>
      <c r="O15" s="26">
        <f>Returns_data!F15</f>
        <v/>
      </c>
      <c r="P15" s="26">
        <f>Returns_data!I15</f>
        <v/>
      </c>
      <c r="Q15" s="26">
        <f>Returns_data!J15</f>
        <v/>
      </c>
      <c r="R15" s="26">
        <f>Returns_data!L15</f>
        <v/>
      </c>
      <c r="S15" s="26">
        <f>Returns_data!M15</f>
        <v/>
      </c>
      <c r="T15" s="26">
        <f>Returns_data!N15</f>
        <v/>
      </c>
      <c r="U15" s="26">
        <f>Returns_data!P15</f>
        <v/>
      </c>
      <c r="V15" s="26">
        <f>Returns_data!S15</f>
        <v/>
      </c>
      <c r="W15" s="26">
        <f>Returns_data!T15</f>
        <v/>
      </c>
      <c r="X15" s="26">
        <f>Returns_data!U15</f>
        <v/>
      </c>
      <c r="Y15" s="26">
        <f>Returns_data!W15</f>
        <v/>
      </c>
      <c r="Z15" s="26">
        <f>Returns_data!X15</f>
        <v/>
      </c>
      <c r="AA15" s="26">
        <f>Returns_data!Y15</f>
        <v/>
      </c>
      <c r="AB15" s="26">
        <f>Returns_data!AA15</f>
        <v/>
      </c>
      <c r="AC15" s="26">
        <f>Returns_data!AB15</f>
        <v/>
      </c>
      <c r="AD15" s="26">
        <f>Returns_data!AD15</f>
        <v/>
      </c>
      <c r="AE15" s="26">
        <f>Returns_data!AE15</f>
        <v/>
      </c>
      <c r="AF15" s="26">
        <f>Returns_data!AF15</f>
        <v/>
      </c>
      <c r="AG15" s="26">
        <f>Returns_data!AG15</f>
        <v/>
      </c>
      <c r="AH15" s="26">
        <f>Returns_data!AH15</f>
        <v/>
      </c>
      <c r="AI15" s="26">
        <f>Returns_data!AI15</f>
        <v/>
      </c>
      <c r="AJ15" s="26">
        <f>Returns_data!AJ15</f>
        <v/>
      </c>
      <c r="AK15" s="26">
        <f>Returns_data!AK15</f>
        <v/>
      </c>
      <c r="AL15" s="26">
        <f>Returns_data!AL15</f>
        <v/>
      </c>
      <c r="AM15" s="26">
        <f>Returns_data!AM15</f>
        <v/>
      </c>
      <c r="AN15" s="26">
        <f>Returns_data!AN15</f>
        <v/>
      </c>
    </row>
    <row r="16">
      <c r="A16" s="24" t="inlineStr">
        <is>
          <t>2016-03-01</t>
        </is>
      </c>
      <c r="B16" s="26">
        <f>Returns_data!R16</f>
        <v/>
      </c>
      <c r="C16" s="26">
        <f>Returns_data!Z16</f>
        <v/>
      </c>
      <c r="D16" s="26">
        <f>Returns_data!C16</f>
        <v/>
      </c>
      <c r="E16" s="26">
        <f>Returns_data!D16</f>
        <v/>
      </c>
      <c r="F16" s="26">
        <f>Returns_data!AC16</f>
        <v/>
      </c>
      <c r="G16" s="26">
        <f>Returns_data!E16</f>
        <v/>
      </c>
      <c r="H16" s="26">
        <f>Returns_data!V16</f>
        <v/>
      </c>
      <c r="I16" s="26">
        <f>Returns_data!G16</f>
        <v/>
      </c>
      <c r="J16" s="26">
        <f>Returns_data!O16</f>
        <v/>
      </c>
      <c r="K16" s="26">
        <f>Returns_data!Q16</f>
        <v/>
      </c>
      <c r="L16" s="26">
        <f>Returns_data!H16</f>
        <v/>
      </c>
      <c r="M16" s="26">
        <f>Returns_data!K16</f>
        <v/>
      </c>
      <c r="N16" s="26">
        <f>Returns_data!B16</f>
        <v/>
      </c>
      <c r="O16" s="26">
        <f>Returns_data!F16</f>
        <v/>
      </c>
      <c r="P16" s="26">
        <f>Returns_data!I16</f>
        <v/>
      </c>
      <c r="Q16" s="26">
        <f>Returns_data!J16</f>
        <v/>
      </c>
      <c r="R16" s="26">
        <f>Returns_data!L16</f>
        <v/>
      </c>
      <c r="S16" s="26">
        <f>Returns_data!M16</f>
        <v/>
      </c>
      <c r="T16" s="26">
        <f>Returns_data!N16</f>
        <v/>
      </c>
      <c r="U16" s="26">
        <f>Returns_data!P16</f>
        <v/>
      </c>
      <c r="V16" s="26">
        <f>Returns_data!S16</f>
        <v/>
      </c>
      <c r="W16" s="26">
        <f>Returns_data!T16</f>
        <v/>
      </c>
      <c r="X16" s="26">
        <f>Returns_data!U16</f>
        <v/>
      </c>
      <c r="Y16" s="26">
        <f>Returns_data!W16</f>
        <v/>
      </c>
      <c r="Z16" s="26">
        <f>Returns_data!X16</f>
        <v/>
      </c>
      <c r="AA16" s="26">
        <f>Returns_data!Y16</f>
        <v/>
      </c>
      <c r="AB16" s="26">
        <f>Returns_data!AA16</f>
        <v/>
      </c>
      <c r="AC16" s="26">
        <f>Returns_data!AB16</f>
        <v/>
      </c>
      <c r="AD16" s="26">
        <f>Returns_data!AD16</f>
        <v/>
      </c>
      <c r="AE16" s="26">
        <f>Returns_data!AE16</f>
        <v/>
      </c>
      <c r="AF16" s="26">
        <f>Returns_data!AF16</f>
        <v/>
      </c>
      <c r="AG16" s="26">
        <f>Returns_data!AG16</f>
        <v/>
      </c>
      <c r="AH16" s="26">
        <f>Returns_data!AH16</f>
        <v/>
      </c>
      <c r="AI16" s="26">
        <f>Returns_data!AI16</f>
        <v/>
      </c>
      <c r="AJ16" s="26">
        <f>Returns_data!AJ16</f>
        <v/>
      </c>
      <c r="AK16" s="26">
        <f>Returns_data!AK16</f>
        <v/>
      </c>
      <c r="AL16" s="26">
        <f>Returns_data!AL16</f>
        <v/>
      </c>
      <c r="AM16" s="26">
        <f>Returns_data!AM16</f>
        <v/>
      </c>
      <c r="AN16" s="26">
        <f>Returns_data!AN16</f>
        <v/>
      </c>
    </row>
    <row r="17">
      <c r="A17" s="24" t="inlineStr">
        <is>
          <t>2016-04-01</t>
        </is>
      </c>
      <c r="B17" s="26">
        <f>Returns_data!R17</f>
        <v/>
      </c>
      <c r="C17" s="26">
        <f>Returns_data!Z17</f>
        <v/>
      </c>
      <c r="D17" s="26">
        <f>Returns_data!C17</f>
        <v/>
      </c>
      <c r="E17" s="26">
        <f>Returns_data!D17</f>
        <v/>
      </c>
      <c r="F17" s="26">
        <f>Returns_data!AC17</f>
        <v/>
      </c>
      <c r="G17" s="26">
        <f>Returns_data!E17</f>
        <v/>
      </c>
      <c r="H17" s="26">
        <f>Returns_data!V17</f>
        <v/>
      </c>
      <c r="I17" s="26">
        <f>Returns_data!G17</f>
        <v/>
      </c>
      <c r="J17" s="26">
        <f>Returns_data!O17</f>
        <v/>
      </c>
      <c r="K17" s="26">
        <f>Returns_data!Q17</f>
        <v/>
      </c>
      <c r="L17" s="26">
        <f>Returns_data!H17</f>
        <v/>
      </c>
      <c r="M17" s="26">
        <f>Returns_data!K17</f>
        <v/>
      </c>
      <c r="N17" s="26">
        <f>Returns_data!B17</f>
        <v/>
      </c>
      <c r="O17" s="26">
        <f>Returns_data!F17</f>
        <v/>
      </c>
      <c r="P17" s="26">
        <f>Returns_data!I17</f>
        <v/>
      </c>
      <c r="Q17" s="26">
        <f>Returns_data!J17</f>
        <v/>
      </c>
      <c r="R17" s="26">
        <f>Returns_data!L17</f>
        <v/>
      </c>
      <c r="S17" s="26">
        <f>Returns_data!M17</f>
        <v/>
      </c>
      <c r="T17" s="26">
        <f>Returns_data!N17</f>
        <v/>
      </c>
      <c r="U17" s="26">
        <f>Returns_data!P17</f>
        <v/>
      </c>
      <c r="V17" s="26">
        <f>Returns_data!S17</f>
        <v/>
      </c>
      <c r="W17" s="26">
        <f>Returns_data!T17</f>
        <v/>
      </c>
      <c r="X17" s="26">
        <f>Returns_data!U17</f>
        <v/>
      </c>
      <c r="Y17" s="26">
        <f>Returns_data!W17</f>
        <v/>
      </c>
      <c r="Z17" s="26">
        <f>Returns_data!X17</f>
        <v/>
      </c>
      <c r="AA17" s="26">
        <f>Returns_data!Y17</f>
        <v/>
      </c>
      <c r="AB17" s="26">
        <f>Returns_data!AA17</f>
        <v/>
      </c>
      <c r="AC17" s="26">
        <f>Returns_data!AB17</f>
        <v/>
      </c>
      <c r="AD17" s="26">
        <f>Returns_data!AD17</f>
        <v/>
      </c>
      <c r="AE17" s="26">
        <f>Returns_data!AE17</f>
        <v/>
      </c>
      <c r="AF17" s="26">
        <f>Returns_data!AF17</f>
        <v/>
      </c>
      <c r="AG17" s="26">
        <f>Returns_data!AG17</f>
        <v/>
      </c>
      <c r="AH17" s="26">
        <f>Returns_data!AH17</f>
        <v/>
      </c>
      <c r="AI17" s="26">
        <f>Returns_data!AI17</f>
        <v/>
      </c>
      <c r="AJ17" s="26">
        <f>Returns_data!AJ17</f>
        <v/>
      </c>
      <c r="AK17" s="26">
        <f>Returns_data!AK17</f>
        <v/>
      </c>
      <c r="AL17" s="26">
        <f>Returns_data!AL17</f>
        <v/>
      </c>
      <c r="AM17" s="26">
        <f>Returns_data!AM17</f>
        <v/>
      </c>
      <c r="AN17" s="26">
        <f>Returns_data!AN17</f>
        <v/>
      </c>
    </row>
    <row r="18">
      <c r="A18" s="24" t="inlineStr">
        <is>
          <t>2016-05-01</t>
        </is>
      </c>
      <c r="B18" s="26">
        <f>Returns_data!R18</f>
        <v/>
      </c>
      <c r="C18" s="26">
        <f>Returns_data!Z18</f>
        <v/>
      </c>
      <c r="D18" s="26">
        <f>Returns_data!C18</f>
        <v/>
      </c>
      <c r="E18" s="26">
        <f>Returns_data!D18</f>
        <v/>
      </c>
      <c r="F18" s="26">
        <f>Returns_data!AC18</f>
        <v/>
      </c>
      <c r="G18" s="26">
        <f>Returns_data!E18</f>
        <v/>
      </c>
      <c r="H18" s="26">
        <f>Returns_data!V18</f>
        <v/>
      </c>
      <c r="I18" s="26">
        <f>Returns_data!G18</f>
        <v/>
      </c>
      <c r="J18" s="26">
        <f>Returns_data!O18</f>
        <v/>
      </c>
      <c r="K18" s="26">
        <f>Returns_data!Q18</f>
        <v/>
      </c>
      <c r="L18" s="26">
        <f>Returns_data!H18</f>
        <v/>
      </c>
      <c r="M18" s="26">
        <f>Returns_data!K18</f>
        <v/>
      </c>
      <c r="N18" s="26">
        <f>Returns_data!B18</f>
        <v/>
      </c>
      <c r="O18" s="26">
        <f>Returns_data!F18</f>
        <v/>
      </c>
      <c r="P18" s="26">
        <f>Returns_data!I18</f>
        <v/>
      </c>
      <c r="Q18" s="26">
        <f>Returns_data!J18</f>
        <v/>
      </c>
      <c r="R18" s="26">
        <f>Returns_data!L18</f>
        <v/>
      </c>
      <c r="S18" s="26">
        <f>Returns_data!M18</f>
        <v/>
      </c>
      <c r="T18" s="26">
        <f>Returns_data!N18</f>
        <v/>
      </c>
      <c r="U18" s="26">
        <f>Returns_data!P18</f>
        <v/>
      </c>
      <c r="V18" s="26">
        <f>Returns_data!S18</f>
        <v/>
      </c>
      <c r="W18" s="26">
        <f>Returns_data!T18</f>
        <v/>
      </c>
      <c r="X18" s="26">
        <f>Returns_data!U18</f>
        <v/>
      </c>
      <c r="Y18" s="26">
        <f>Returns_data!W18</f>
        <v/>
      </c>
      <c r="Z18" s="26">
        <f>Returns_data!X18</f>
        <v/>
      </c>
      <c r="AA18" s="26">
        <f>Returns_data!Y18</f>
        <v/>
      </c>
      <c r="AB18" s="26">
        <f>Returns_data!AA18</f>
        <v/>
      </c>
      <c r="AC18" s="26">
        <f>Returns_data!AB18</f>
        <v/>
      </c>
      <c r="AD18" s="26">
        <f>Returns_data!AD18</f>
        <v/>
      </c>
      <c r="AE18" s="26">
        <f>Returns_data!AE18</f>
        <v/>
      </c>
      <c r="AF18" s="26">
        <f>Returns_data!AF18</f>
        <v/>
      </c>
      <c r="AG18" s="26">
        <f>Returns_data!AG18</f>
        <v/>
      </c>
      <c r="AH18" s="26">
        <f>Returns_data!AH18</f>
        <v/>
      </c>
      <c r="AI18" s="26">
        <f>Returns_data!AI18</f>
        <v/>
      </c>
      <c r="AJ18" s="26">
        <f>Returns_data!AJ18</f>
        <v/>
      </c>
      <c r="AK18" s="26">
        <f>Returns_data!AK18</f>
        <v/>
      </c>
      <c r="AL18" s="26">
        <f>Returns_data!AL18</f>
        <v/>
      </c>
      <c r="AM18" s="26">
        <f>Returns_data!AM18</f>
        <v/>
      </c>
      <c r="AN18" s="26">
        <f>Returns_data!AN18</f>
        <v/>
      </c>
    </row>
    <row r="19">
      <c r="A19" s="24" t="inlineStr">
        <is>
          <t>2016-06-01</t>
        </is>
      </c>
      <c r="B19" s="26">
        <f>Returns_data!R19</f>
        <v/>
      </c>
      <c r="C19" s="26">
        <f>Returns_data!Z19</f>
        <v/>
      </c>
      <c r="D19" s="26">
        <f>Returns_data!C19</f>
        <v/>
      </c>
      <c r="E19" s="26">
        <f>Returns_data!D19</f>
        <v/>
      </c>
      <c r="F19" s="26">
        <f>Returns_data!AC19</f>
        <v/>
      </c>
      <c r="G19" s="26">
        <f>Returns_data!E19</f>
        <v/>
      </c>
      <c r="H19" s="26">
        <f>Returns_data!V19</f>
        <v/>
      </c>
      <c r="I19" s="26">
        <f>Returns_data!G19</f>
        <v/>
      </c>
      <c r="J19" s="26">
        <f>Returns_data!O19</f>
        <v/>
      </c>
      <c r="K19" s="26">
        <f>Returns_data!Q19</f>
        <v/>
      </c>
      <c r="L19" s="26">
        <f>Returns_data!H19</f>
        <v/>
      </c>
      <c r="M19" s="26">
        <f>Returns_data!K19</f>
        <v/>
      </c>
      <c r="N19" s="26">
        <f>Returns_data!B19</f>
        <v/>
      </c>
      <c r="O19" s="26">
        <f>Returns_data!F19</f>
        <v/>
      </c>
      <c r="P19" s="26">
        <f>Returns_data!I19</f>
        <v/>
      </c>
      <c r="Q19" s="26">
        <f>Returns_data!J19</f>
        <v/>
      </c>
      <c r="R19" s="26">
        <f>Returns_data!L19</f>
        <v/>
      </c>
      <c r="S19" s="26">
        <f>Returns_data!M19</f>
        <v/>
      </c>
      <c r="T19" s="26">
        <f>Returns_data!N19</f>
        <v/>
      </c>
      <c r="U19" s="26">
        <f>Returns_data!P19</f>
        <v/>
      </c>
      <c r="V19" s="26">
        <f>Returns_data!S19</f>
        <v/>
      </c>
      <c r="W19" s="26">
        <f>Returns_data!T19</f>
        <v/>
      </c>
      <c r="X19" s="26">
        <f>Returns_data!U19</f>
        <v/>
      </c>
      <c r="Y19" s="26">
        <f>Returns_data!W19</f>
        <v/>
      </c>
      <c r="Z19" s="26">
        <f>Returns_data!X19</f>
        <v/>
      </c>
      <c r="AA19" s="26">
        <f>Returns_data!Y19</f>
        <v/>
      </c>
      <c r="AB19" s="26">
        <f>Returns_data!AA19</f>
        <v/>
      </c>
      <c r="AC19" s="26">
        <f>Returns_data!AB19</f>
        <v/>
      </c>
      <c r="AD19" s="26">
        <f>Returns_data!AD19</f>
        <v/>
      </c>
      <c r="AE19" s="26">
        <f>Returns_data!AE19</f>
        <v/>
      </c>
      <c r="AF19" s="26">
        <f>Returns_data!AF19</f>
        <v/>
      </c>
      <c r="AG19" s="26">
        <f>Returns_data!AG19</f>
        <v/>
      </c>
      <c r="AH19" s="26">
        <f>Returns_data!AH19</f>
        <v/>
      </c>
      <c r="AI19" s="26">
        <f>Returns_data!AI19</f>
        <v/>
      </c>
      <c r="AJ19" s="26">
        <f>Returns_data!AJ19</f>
        <v/>
      </c>
      <c r="AK19" s="26">
        <f>Returns_data!AK19</f>
        <v/>
      </c>
      <c r="AL19" s="26">
        <f>Returns_data!AL19</f>
        <v/>
      </c>
      <c r="AM19" s="26">
        <f>Returns_data!AM19</f>
        <v/>
      </c>
      <c r="AN19" s="26">
        <f>Returns_data!AN19</f>
        <v/>
      </c>
    </row>
    <row r="20">
      <c r="A20" s="24" t="inlineStr">
        <is>
          <t>2016-07-01</t>
        </is>
      </c>
      <c r="B20" s="26">
        <f>Returns_data!R20</f>
        <v/>
      </c>
      <c r="C20" s="26">
        <f>Returns_data!Z20</f>
        <v/>
      </c>
      <c r="D20" s="26">
        <f>Returns_data!C20</f>
        <v/>
      </c>
      <c r="E20" s="26">
        <f>Returns_data!D20</f>
        <v/>
      </c>
      <c r="F20" s="26">
        <f>Returns_data!AC20</f>
        <v/>
      </c>
      <c r="G20" s="26">
        <f>Returns_data!E20</f>
        <v/>
      </c>
      <c r="H20" s="26">
        <f>Returns_data!V20</f>
        <v/>
      </c>
      <c r="I20" s="26">
        <f>Returns_data!G20</f>
        <v/>
      </c>
      <c r="J20" s="26">
        <f>Returns_data!O20</f>
        <v/>
      </c>
      <c r="K20" s="26">
        <f>Returns_data!Q20</f>
        <v/>
      </c>
      <c r="L20" s="26">
        <f>Returns_data!H20</f>
        <v/>
      </c>
      <c r="M20" s="26">
        <f>Returns_data!K20</f>
        <v/>
      </c>
      <c r="N20" s="26">
        <f>Returns_data!B20</f>
        <v/>
      </c>
      <c r="O20" s="26">
        <f>Returns_data!F20</f>
        <v/>
      </c>
      <c r="P20" s="26">
        <f>Returns_data!I20</f>
        <v/>
      </c>
      <c r="Q20" s="26">
        <f>Returns_data!J20</f>
        <v/>
      </c>
      <c r="R20" s="26">
        <f>Returns_data!L20</f>
        <v/>
      </c>
      <c r="S20" s="26">
        <f>Returns_data!M20</f>
        <v/>
      </c>
      <c r="T20" s="26">
        <f>Returns_data!N20</f>
        <v/>
      </c>
      <c r="U20" s="26">
        <f>Returns_data!P20</f>
        <v/>
      </c>
      <c r="V20" s="26">
        <f>Returns_data!S20</f>
        <v/>
      </c>
      <c r="W20" s="26">
        <f>Returns_data!T20</f>
        <v/>
      </c>
      <c r="X20" s="26">
        <f>Returns_data!U20</f>
        <v/>
      </c>
      <c r="Y20" s="26">
        <f>Returns_data!W20</f>
        <v/>
      </c>
      <c r="Z20" s="26">
        <f>Returns_data!X20</f>
        <v/>
      </c>
      <c r="AA20" s="26">
        <f>Returns_data!Y20</f>
        <v/>
      </c>
      <c r="AB20" s="26">
        <f>Returns_data!AA20</f>
        <v/>
      </c>
      <c r="AC20" s="26">
        <f>Returns_data!AB20</f>
        <v/>
      </c>
      <c r="AD20" s="26">
        <f>Returns_data!AD20</f>
        <v/>
      </c>
      <c r="AE20" s="26">
        <f>Returns_data!AE20</f>
        <v/>
      </c>
      <c r="AF20" s="26">
        <f>Returns_data!AF20</f>
        <v/>
      </c>
      <c r="AG20" s="26">
        <f>Returns_data!AG20</f>
        <v/>
      </c>
      <c r="AH20" s="26">
        <f>Returns_data!AH20</f>
        <v/>
      </c>
      <c r="AI20" s="26">
        <f>Returns_data!AI20</f>
        <v/>
      </c>
      <c r="AJ20" s="26">
        <f>Returns_data!AJ20</f>
        <v/>
      </c>
      <c r="AK20" s="26">
        <f>Returns_data!AK20</f>
        <v/>
      </c>
      <c r="AL20" s="26">
        <f>Returns_data!AL20</f>
        <v/>
      </c>
      <c r="AM20" s="26">
        <f>Returns_data!AM20</f>
        <v/>
      </c>
      <c r="AN20" s="26">
        <f>Returns_data!AN20</f>
        <v/>
      </c>
    </row>
    <row r="21">
      <c r="A21" s="24" t="inlineStr">
        <is>
          <t>2016-08-01</t>
        </is>
      </c>
      <c r="B21" s="26">
        <f>Returns_data!R21</f>
        <v/>
      </c>
      <c r="C21" s="26">
        <f>Returns_data!Z21</f>
        <v/>
      </c>
      <c r="D21" s="26">
        <f>Returns_data!C21</f>
        <v/>
      </c>
      <c r="E21" s="26">
        <f>Returns_data!D21</f>
        <v/>
      </c>
      <c r="F21" s="26">
        <f>Returns_data!AC21</f>
        <v/>
      </c>
      <c r="G21" s="26">
        <f>Returns_data!E21</f>
        <v/>
      </c>
      <c r="H21" s="26">
        <f>Returns_data!V21</f>
        <v/>
      </c>
      <c r="I21" s="26">
        <f>Returns_data!G21</f>
        <v/>
      </c>
      <c r="J21" s="26">
        <f>Returns_data!O21</f>
        <v/>
      </c>
      <c r="K21" s="26">
        <f>Returns_data!Q21</f>
        <v/>
      </c>
      <c r="L21" s="26">
        <f>Returns_data!H21</f>
        <v/>
      </c>
      <c r="M21" s="26">
        <f>Returns_data!K21</f>
        <v/>
      </c>
      <c r="N21" s="26">
        <f>Returns_data!B21</f>
        <v/>
      </c>
      <c r="O21" s="26">
        <f>Returns_data!F21</f>
        <v/>
      </c>
      <c r="P21" s="26">
        <f>Returns_data!I21</f>
        <v/>
      </c>
      <c r="Q21" s="26">
        <f>Returns_data!J21</f>
        <v/>
      </c>
      <c r="R21" s="26">
        <f>Returns_data!L21</f>
        <v/>
      </c>
      <c r="S21" s="26">
        <f>Returns_data!M21</f>
        <v/>
      </c>
      <c r="T21" s="26">
        <f>Returns_data!N21</f>
        <v/>
      </c>
      <c r="U21" s="26">
        <f>Returns_data!P21</f>
        <v/>
      </c>
      <c r="V21" s="26">
        <f>Returns_data!S21</f>
        <v/>
      </c>
      <c r="W21" s="26">
        <f>Returns_data!T21</f>
        <v/>
      </c>
      <c r="X21" s="26">
        <f>Returns_data!U21</f>
        <v/>
      </c>
      <c r="Y21" s="26">
        <f>Returns_data!W21</f>
        <v/>
      </c>
      <c r="Z21" s="26">
        <f>Returns_data!X21</f>
        <v/>
      </c>
      <c r="AA21" s="26">
        <f>Returns_data!Y21</f>
        <v/>
      </c>
      <c r="AB21" s="26">
        <f>Returns_data!AA21</f>
        <v/>
      </c>
      <c r="AC21" s="26">
        <f>Returns_data!AB21</f>
        <v/>
      </c>
      <c r="AD21" s="26">
        <f>Returns_data!AD21</f>
        <v/>
      </c>
      <c r="AE21" s="26">
        <f>Returns_data!AE21</f>
        <v/>
      </c>
      <c r="AF21" s="26">
        <f>Returns_data!AF21</f>
        <v/>
      </c>
      <c r="AG21" s="26">
        <f>Returns_data!AG21</f>
        <v/>
      </c>
      <c r="AH21" s="26">
        <f>Returns_data!AH21</f>
        <v/>
      </c>
      <c r="AI21" s="26">
        <f>Returns_data!AI21</f>
        <v/>
      </c>
      <c r="AJ21" s="26">
        <f>Returns_data!AJ21</f>
        <v/>
      </c>
      <c r="AK21" s="26">
        <f>Returns_data!AK21</f>
        <v/>
      </c>
      <c r="AL21" s="26">
        <f>Returns_data!AL21</f>
        <v/>
      </c>
      <c r="AM21" s="26">
        <f>Returns_data!AM21</f>
        <v/>
      </c>
      <c r="AN21" s="26">
        <f>Returns_data!AN21</f>
        <v/>
      </c>
    </row>
    <row r="22">
      <c r="A22" s="24" t="inlineStr">
        <is>
          <t>2016-09-01</t>
        </is>
      </c>
      <c r="B22" s="26">
        <f>Returns_data!R22</f>
        <v/>
      </c>
      <c r="C22" s="26">
        <f>Returns_data!Z22</f>
        <v/>
      </c>
      <c r="D22" s="26">
        <f>Returns_data!C22</f>
        <v/>
      </c>
      <c r="E22" s="26">
        <f>Returns_data!D22</f>
        <v/>
      </c>
      <c r="F22" s="26">
        <f>Returns_data!AC22</f>
        <v/>
      </c>
      <c r="G22" s="26">
        <f>Returns_data!E22</f>
        <v/>
      </c>
      <c r="H22" s="26">
        <f>Returns_data!V22</f>
        <v/>
      </c>
      <c r="I22" s="26">
        <f>Returns_data!G22</f>
        <v/>
      </c>
      <c r="J22" s="26">
        <f>Returns_data!O22</f>
        <v/>
      </c>
      <c r="K22" s="26">
        <f>Returns_data!Q22</f>
        <v/>
      </c>
      <c r="L22" s="26">
        <f>Returns_data!H22</f>
        <v/>
      </c>
      <c r="M22" s="26">
        <f>Returns_data!K22</f>
        <v/>
      </c>
      <c r="N22" s="26">
        <f>Returns_data!B22</f>
        <v/>
      </c>
      <c r="O22" s="26">
        <f>Returns_data!F22</f>
        <v/>
      </c>
      <c r="P22" s="26">
        <f>Returns_data!I22</f>
        <v/>
      </c>
      <c r="Q22" s="26">
        <f>Returns_data!J22</f>
        <v/>
      </c>
      <c r="R22" s="26">
        <f>Returns_data!L22</f>
        <v/>
      </c>
      <c r="S22" s="26">
        <f>Returns_data!M22</f>
        <v/>
      </c>
      <c r="T22" s="26">
        <f>Returns_data!N22</f>
        <v/>
      </c>
      <c r="U22" s="26">
        <f>Returns_data!P22</f>
        <v/>
      </c>
      <c r="V22" s="26">
        <f>Returns_data!S22</f>
        <v/>
      </c>
      <c r="W22" s="26">
        <f>Returns_data!T22</f>
        <v/>
      </c>
      <c r="X22" s="26">
        <f>Returns_data!U22</f>
        <v/>
      </c>
      <c r="Y22" s="26">
        <f>Returns_data!W22</f>
        <v/>
      </c>
      <c r="Z22" s="26">
        <f>Returns_data!X22</f>
        <v/>
      </c>
      <c r="AA22" s="26">
        <f>Returns_data!Y22</f>
        <v/>
      </c>
      <c r="AB22" s="26">
        <f>Returns_data!AA22</f>
        <v/>
      </c>
      <c r="AC22" s="26">
        <f>Returns_data!AB22</f>
        <v/>
      </c>
      <c r="AD22" s="26">
        <f>Returns_data!AD22</f>
        <v/>
      </c>
      <c r="AE22" s="26">
        <f>Returns_data!AE22</f>
        <v/>
      </c>
      <c r="AF22" s="26">
        <f>Returns_data!AF22</f>
        <v/>
      </c>
      <c r="AG22" s="26">
        <f>Returns_data!AG22</f>
        <v/>
      </c>
      <c r="AH22" s="26">
        <f>Returns_data!AH22</f>
        <v/>
      </c>
      <c r="AI22" s="26">
        <f>Returns_data!AI22</f>
        <v/>
      </c>
      <c r="AJ22" s="26">
        <f>Returns_data!AJ22</f>
        <v/>
      </c>
      <c r="AK22" s="26">
        <f>Returns_data!AK22</f>
        <v/>
      </c>
      <c r="AL22" s="26">
        <f>Returns_data!AL22</f>
        <v/>
      </c>
      <c r="AM22" s="26">
        <f>Returns_data!AM22</f>
        <v/>
      </c>
      <c r="AN22" s="26">
        <f>Returns_data!AN22</f>
        <v/>
      </c>
    </row>
    <row r="23">
      <c r="A23" s="24" t="inlineStr">
        <is>
          <t>2016-10-01</t>
        </is>
      </c>
      <c r="B23" s="26">
        <f>Returns_data!R23</f>
        <v/>
      </c>
      <c r="C23" s="26">
        <f>Returns_data!Z23</f>
        <v/>
      </c>
      <c r="D23" s="26">
        <f>Returns_data!C23</f>
        <v/>
      </c>
      <c r="E23" s="26">
        <f>Returns_data!D23</f>
        <v/>
      </c>
      <c r="F23" s="26">
        <f>Returns_data!AC23</f>
        <v/>
      </c>
      <c r="G23" s="26">
        <f>Returns_data!E23</f>
        <v/>
      </c>
      <c r="H23" s="26">
        <f>Returns_data!V23</f>
        <v/>
      </c>
      <c r="I23" s="26">
        <f>Returns_data!G23</f>
        <v/>
      </c>
      <c r="J23" s="26">
        <f>Returns_data!O23</f>
        <v/>
      </c>
      <c r="K23" s="26">
        <f>Returns_data!Q23</f>
        <v/>
      </c>
      <c r="L23" s="26">
        <f>Returns_data!H23</f>
        <v/>
      </c>
      <c r="M23" s="26">
        <f>Returns_data!K23</f>
        <v/>
      </c>
      <c r="N23" s="26">
        <f>Returns_data!B23</f>
        <v/>
      </c>
      <c r="O23" s="26">
        <f>Returns_data!F23</f>
        <v/>
      </c>
      <c r="P23" s="26">
        <f>Returns_data!I23</f>
        <v/>
      </c>
      <c r="Q23" s="26">
        <f>Returns_data!J23</f>
        <v/>
      </c>
      <c r="R23" s="26">
        <f>Returns_data!L23</f>
        <v/>
      </c>
      <c r="S23" s="26">
        <f>Returns_data!M23</f>
        <v/>
      </c>
      <c r="T23" s="26">
        <f>Returns_data!N23</f>
        <v/>
      </c>
      <c r="U23" s="26">
        <f>Returns_data!P23</f>
        <v/>
      </c>
      <c r="V23" s="26">
        <f>Returns_data!S23</f>
        <v/>
      </c>
      <c r="W23" s="26">
        <f>Returns_data!T23</f>
        <v/>
      </c>
      <c r="X23" s="26">
        <f>Returns_data!U23</f>
        <v/>
      </c>
      <c r="Y23" s="26">
        <f>Returns_data!W23</f>
        <v/>
      </c>
      <c r="Z23" s="26">
        <f>Returns_data!X23</f>
        <v/>
      </c>
      <c r="AA23" s="26">
        <f>Returns_data!Y23</f>
        <v/>
      </c>
      <c r="AB23" s="26">
        <f>Returns_data!AA23</f>
        <v/>
      </c>
      <c r="AC23" s="26">
        <f>Returns_data!AB23</f>
        <v/>
      </c>
      <c r="AD23" s="26">
        <f>Returns_data!AD23</f>
        <v/>
      </c>
      <c r="AE23" s="26">
        <f>Returns_data!AE23</f>
        <v/>
      </c>
      <c r="AF23" s="26">
        <f>Returns_data!AF23</f>
        <v/>
      </c>
      <c r="AG23" s="26">
        <f>Returns_data!AG23</f>
        <v/>
      </c>
      <c r="AH23" s="26">
        <f>Returns_data!AH23</f>
        <v/>
      </c>
      <c r="AI23" s="26">
        <f>Returns_data!AI23</f>
        <v/>
      </c>
      <c r="AJ23" s="26">
        <f>Returns_data!AJ23</f>
        <v/>
      </c>
      <c r="AK23" s="26">
        <f>Returns_data!AK23</f>
        <v/>
      </c>
      <c r="AL23" s="26">
        <f>Returns_data!AL23</f>
        <v/>
      </c>
      <c r="AM23" s="26">
        <f>Returns_data!AM23</f>
        <v/>
      </c>
      <c r="AN23" s="26">
        <f>Returns_data!AN23</f>
        <v/>
      </c>
    </row>
    <row r="24">
      <c r="A24" s="24" t="inlineStr">
        <is>
          <t>2016-11-01</t>
        </is>
      </c>
      <c r="B24" s="26">
        <f>Returns_data!R24</f>
        <v/>
      </c>
      <c r="C24" s="26">
        <f>Returns_data!Z24</f>
        <v/>
      </c>
      <c r="D24" s="26">
        <f>Returns_data!C24</f>
        <v/>
      </c>
      <c r="E24" s="26">
        <f>Returns_data!D24</f>
        <v/>
      </c>
      <c r="F24" s="26">
        <f>Returns_data!AC24</f>
        <v/>
      </c>
      <c r="G24" s="26">
        <f>Returns_data!E24</f>
        <v/>
      </c>
      <c r="H24" s="26">
        <f>Returns_data!V24</f>
        <v/>
      </c>
      <c r="I24" s="26">
        <f>Returns_data!G24</f>
        <v/>
      </c>
      <c r="J24" s="26">
        <f>Returns_data!O24</f>
        <v/>
      </c>
      <c r="K24" s="26">
        <f>Returns_data!Q24</f>
        <v/>
      </c>
      <c r="L24" s="26">
        <f>Returns_data!H24</f>
        <v/>
      </c>
      <c r="M24" s="26">
        <f>Returns_data!K24</f>
        <v/>
      </c>
      <c r="N24" s="26">
        <f>Returns_data!B24</f>
        <v/>
      </c>
      <c r="O24" s="26">
        <f>Returns_data!F24</f>
        <v/>
      </c>
      <c r="P24" s="26">
        <f>Returns_data!I24</f>
        <v/>
      </c>
      <c r="Q24" s="26">
        <f>Returns_data!J24</f>
        <v/>
      </c>
      <c r="R24" s="26">
        <f>Returns_data!L24</f>
        <v/>
      </c>
      <c r="S24" s="26">
        <f>Returns_data!M24</f>
        <v/>
      </c>
      <c r="T24" s="26">
        <f>Returns_data!N24</f>
        <v/>
      </c>
      <c r="U24" s="26">
        <f>Returns_data!P24</f>
        <v/>
      </c>
      <c r="V24" s="26">
        <f>Returns_data!S24</f>
        <v/>
      </c>
      <c r="W24" s="26">
        <f>Returns_data!T24</f>
        <v/>
      </c>
      <c r="X24" s="26">
        <f>Returns_data!U24</f>
        <v/>
      </c>
      <c r="Y24" s="26">
        <f>Returns_data!W24</f>
        <v/>
      </c>
      <c r="Z24" s="26">
        <f>Returns_data!X24</f>
        <v/>
      </c>
      <c r="AA24" s="26">
        <f>Returns_data!Y24</f>
        <v/>
      </c>
      <c r="AB24" s="26">
        <f>Returns_data!AA24</f>
        <v/>
      </c>
      <c r="AC24" s="26">
        <f>Returns_data!AB24</f>
        <v/>
      </c>
      <c r="AD24" s="26">
        <f>Returns_data!AD24</f>
        <v/>
      </c>
      <c r="AE24" s="26">
        <f>Returns_data!AE24</f>
        <v/>
      </c>
      <c r="AF24" s="26">
        <f>Returns_data!AF24</f>
        <v/>
      </c>
      <c r="AG24" s="26">
        <f>Returns_data!AG24</f>
        <v/>
      </c>
      <c r="AH24" s="26">
        <f>Returns_data!AH24</f>
        <v/>
      </c>
      <c r="AI24" s="26">
        <f>Returns_data!AI24</f>
        <v/>
      </c>
      <c r="AJ24" s="26">
        <f>Returns_data!AJ24</f>
        <v/>
      </c>
      <c r="AK24" s="26">
        <f>Returns_data!AK24</f>
        <v/>
      </c>
      <c r="AL24" s="26">
        <f>Returns_data!AL24</f>
        <v/>
      </c>
      <c r="AM24" s="26">
        <f>Returns_data!AM24</f>
        <v/>
      </c>
      <c r="AN24" s="26">
        <f>Returns_data!AN24</f>
        <v/>
      </c>
    </row>
    <row r="25">
      <c r="A25" s="24" t="inlineStr">
        <is>
          <t>2016-12-01</t>
        </is>
      </c>
      <c r="B25" s="26">
        <f>Returns_data!R25</f>
        <v/>
      </c>
      <c r="C25" s="26">
        <f>Returns_data!Z25</f>
        <v/>
      </c>
      <c r="D25" s="26">
        <f>Returns_data!C25</f>
        <v/>
      </c>
      <c r="E25" s="26">
        <f>Returns_data!D25</f>
        <v/>
      </c>
      <c r="F25" s="26">
        <f>Returns_data!AC25</f>
        <v/>
      </c>
      <c r="G25" s="26">
        <f>Returns_data!E25</f>
        <v/>
      </c>
      <c r="H25" s="26">
        <f>Returns_data!V25</f>
        <v/>
      </c>
      <c r="I25" s="26">
        <f>Returns_data!G25</f>
        <v/>
      </c>
      <c r="J25" s="26">
        <f>Returns_data!O25</f>
        <v/>
      </c>
      <c r="K25" s="26">
        <f>Returns_data!Q25</f>
        <v/>
      </c>
      <c r="L25" s="26">
        <f>Returns_data!H25</f>
        <v/>
      </c>
      <c r="M25" s="26">
        <f>Returns_data!K25</f>
        <v/>
      </c>
      <c r="N25" s="26">
        <f>Returns_data!B25</f>
        <v/>
      </c>
      <c r="O25" s="26">
        <f>Returns_data!F25</f>
        <v/>
      </c>
      <c r="P25" s="26">
        <f>Returns_data!I25</f>
        <v/>
      </c>
      <c r="Q25" s="26">
        <f>Returns_data!J25</f>
        <v/>
      </c>
      <c r="R25" s="26">
        <f>Returns_data!L25</f>
        <v/>
      </c>
      <c r="S25" s="26">
        <f>Returns_data!M25</f>
        <v/>
      </c>
      <c r="T25" s="26">
        <f>Returns_data!N25</f>
        <v/>
      </c>
      <c r="U25" s="26">
        <f>Returns_data!P25</f>
        <v/>
      </c>
      <c r="V25" s="26">
        <f>Returns_data!S25</f>
        <v/>
      </c>
      <c r="W25" s="26">
        <f>Returns_data!T25</f>
        <v/>
      </c>
      <c r="X25" s="26">
        <f>Returns_data!U25</f>
        <v/>
      </c>
      <c r="Y25" s="26">
        <f>Returns_data!W25</f>
        <v/>
      </c>
      <c r="Z25" s="26">
        <f>Returns_data!X25</f>
        <v/>
      </c>
      <c r="AA25" s="26">
        <f>Returns_data!Y25</f>
        <v/>
      </c>
      <c r="AB25" s="26">
        <f>Returns_data!AA25</f>
        <v/>
      </c>
      <c r="AC25" s="26">
        <f>Returns_data!AB25</f>
        <v/>
      </c>
      <c r="AD25" s="26">
        <f>Returns_data!AD25</f>
        <v/>
      </c>
      <c r="AE25" s="26">
        <f>Returns_data!AE25</f>
        <v/>
      </c>
      <c r="AF25" s="26">
        <f>Returns_data!AF25</f>
        <v/>
      </c>
      <c r="AG25" s="26">
        <f>Returns_data!AG25</f>
        <v/>
      </c>
      <c r="AH25" s="26">
        <f>Returns_data!AH25</f>
        <v/>
      </c>
      <c r="AI25" s="26">
        <f>Returns_data!AI25</f>
        <v/>
      </c>
      <c r="AJ25" s="26">
        <f>Returns_data!AJ25</f>
        <v/>
      </c>
      <c r="AK25" s="26">
        <f>Returns_data!AK25</f>
        <v/>
      </c>
      <c r="AL25" s="26">
        <f>Returns_data!AL25</f>
        <v/>
      </c>
      <c r="AM25" s="26">
        <f>Returns_data!AM25</f>
        <v/>
      </c>
      <c r="AN25" s="26">
        <f>Returns_data!AN25</f>
        <v/>
      </c>
    </row>
    <row r="26">
      <c r="A26" s="24" t="inlineStr">
        <is>
          <t>2017-01-01</t>
        </is>
      </c>
      <c r="B26" s="26">
        <f>Returns_data!R26</f>
        <v/>
      </c>
      <c r="C26" s="26">
        <f>Returns_data!Z26</f>
        <v/>
      </c>
      <c r="D26" s="26">
        <f>Returns_data!C26</f>
        <v/>
      </c>
      <c r="E26" s="26">
        <f>Returns_data!D26</f>
        <v/>
      </c>
      <c r="F26" s="26">
        <f>Returns_data!AC26</f>
        <v/>
      </c>
      <c r="G26" s="26">
        <f>Returns_data!E26</f>
        <v/>
      </c>
      <c r="H26" s="26">
        <f>Returns_data!V26</f>
        <v/>
      </c>
      <c r="I26" s="26">
        <f>Returns_data!G26</f>
        <v/>
      </c>
      <c r="J26" s="26">
        <f>Returns_data!O26</f>
        <v/>
      </c>
      <c r="K26" s="26">
        <f>Returns_data!Q26</f>
        <v/>
      </c>
      <c r="L26" s="26">
        <f>Returns_data!H26</f>
        <v/>
      </c>
      <c r="M26" s="26">
        <f>Returns_data!K26</f>
        <v/>
      </c>
      <c r="N26" s="26">
        <f>Returns_data!B26</f>
        <v/>
      </c>
      <c r="O26" s="26">
        <f>Returns_data!F26</f>
        <v/>
      </c>
      <c r="P26" s="26">
        <f>Returns_data!I26</f>
        <v/>
      </c>
      <c r="Q26" s="26">
        <f>Returns_data!J26</f>
        <v/>
      </c>
      <c r="R26" s="26">
        <f>Returns_data!L26</f>
        <v/>
      </c>
      <c r="S26" s="26">
        <f>Returns_data!M26</f>
        <v/>
      </c>
      <c r="T26" s="26">
        <f>Returns_data!N26</f>
        <v/>
      </c>
      <c r="U26" s="26">
        <f>Returns_data!P26</f>
        <v/>
      </c>
      <c r="V26" s="26">
        <f>Returns_data!S26</f>
        <v/>
      </c>
      <c r="W26" s="26">
        <f>Returns_data!T26</f>
        <v/>
      </c>
      <c r="X26" s="26">
        <f>Returns_data!U26</f>
        <v/>
      </c>
      <c r="Y26" s="26">
        <f>Returns_data!W26</f>
        <v/>
      </c>
      <c r="Z26" s="26">
        <f>Returns_data!X26</f>
        <v/>
      </c>
      <c r="AA26" s="26">
        <f>Returns_data!Y26</f>
        <v/>
      </c>
      <c r="AB26" s="26">
        <f>Returns_data!AA26</f>
        <v/>
      </c>
      <c r="AC26" s="26">
        <f>Returns_data!AB26</f>
        <v/>
      </c>
      <c r="AD26" s="26">
        <f>Returns_data!AD26</f>
        <v/>
      </c>
      <c r="AE26" s="26">
        <f>Returns_data!AE26</f>
        <v/>
      </c>
      <c r="AF26" s="26">
        <f>Returns_data!AF26</f>
        <v/>
      </c>
      <c r="AG26" s="26">
        <f>Returns_data!AG26</f>
        <v/>
      </c>
      <c r="AH26" s="26">
        <f>Returns_data!AH26</f>
        <v/>
      </c>
      <c r="AI26" s="26">
        <f>Returns_data!AI26</f>
        <v/>
      </c>
      <c r="AJ26" s="26">
        <f>Returns_data!AJ26</f>
        <v/>
      </c>
      <c r="AK26" s="26">
        <f>Returns_data!AK26</f>
        <v/>
      </c>
      <c r="AL26" s="26">
        <f>Returns_data!AL26</f>
        <v/>
      </c>
      <c r="AM26" s="26">
        <f>Returns_data!AM26</f>
        <v/>
      </c>
      <c r="AN26" s="26">
        <f>Returns_data!AN26</f>
        <v/>
      </c>
    </row>
    <row r="27">
      <c r="A27" s="24" t="inlineStr">
        <is>
          <t>2017-02-01</t>
        </is>
      </c>
      <c r="B27" s="26">
        <f>Returns_data!R27</f>
        <v/>
      </c>
      <c r="C27" s="26">
        <f>Returns_data!Z27</f>
        <v/>
      </c>
      <c r="D27" s="26">
        <f>Returns_data!C27</f>
        <v/>
      </c>
      <c r="E27" s="26">
        <f>Returns_data!D27</f>
        <v/>
      </c>
      <c r="F27" s="26">
        <f>Returns_data!AC27</f>
        <v/>
      </c>
      <c r="G27" s="26">
        <f>Returns_data!E27</f>
        <v/>
      </c>
      <c r="H27" s="26">
        <f>Returns_data!V27</f>
        <v/>
      </c>
      <c r="I27" s="26">
        <f>Returns_data!G27</f>
        <v/>
      </c>
      <c r="J27" s="26">
        <f>Returns_data!O27</f>
        <v/>
      </c>
      <c r="K27" s="26">
        <f>Returns_data!Q27</f>
        <v/>
      </c>
      <c r="L27" s="26">
        <f>Returns_data!H27</f>
        <v/>
      </c>
      <c r="M27" s="26">
        <f>Returns_data!K27</f>
        <v/>
      </c>
      <c r="N27" s="26">
        <f>Returns_data!B27</f>
        <v/>
      </c>
      <c r="O27" s="26">
        <f>Returns_data!F27</f>
        <v/>
      </c>
      <c r="P27" s="26">
        <f>Returns_data!I27</f>
        <v/>
      </c>
      <c r="Q27" s="26">
        <f>Returns_data!J27</f>
        <v/>
      </c>
      <c r="R27" s="26">
        <f>Returns_data!L27</f>
        <v/>
      </c>
      <c r="S27" s="26">
        <f>Returns_data!M27</f>
        <v/>
      </c>
      <c r="T27" s="26">
        <f>Returns_data!N27</f>
        <v/>
      </c>
      <c r="U27" s="26">
        <f>Returns_data!P27</f>
        <v/>
      </c>
      <c r="V27" s="26">
        <f>Returns_data!S27</f>
        <v/>
      </c>
      <c r="W27" s="26">
        <f>Returns_data!T27</f>
        <v/>
      </c>
      <c r="X27" s="26">
        <f>Returns_data!U27</f>
        <v/>
      </c>
      <c r="Y27" s="26">
        <f>Returns_data!W27</f>
        <v/>
      </c>
      <c r="Z27" s="26">
        <f>Returns_data!X27</f>
        <v/>
      </c>
      <c r="AA27" s="26">
        <f>Returns_data!Y27</f>
        <v/>
      </c>
      <c r="AB27" s="26">
        <f>Returns_data!AA27</f>
        <v/>
      </c>
      <c r="AC27" s="26">
        <f>Returns_data!AB27</f>
        <v/>
      </c>
      <c r="AD27" s="26">
        <f>Returns_data!AD27</f>
        <v/>
      </c>
      <c r="AE27" s="26">
        <f>Returns_data!AE27</f>
        <v/>
      </c>
      <c r="AF27" s="26">
        <f>Returns_data!AF27</f>
        <v/>
      </c>
      <c r="AG27" s="26">
        <f>Returns_data!AG27</f>
        <v/>
      </c>
      <c r="AH27" s="26">
        <f>Returns_data!AH27</f>
        <v/>
      </c>
      <c r="AI27" s="26">
        <f>Returns_data!AI27</f>
        <v/>
      </c>
      <c r="AJ27" s="26">
        <f>Returns_data!AJ27</f>
        <v/>
      </c>
      <c r="AK27" s="26">
        <f>Returns_data!AK27</f>
        <v/>
      </c>
      <c r="AL27" s="26">
        <f>Returns_data!AL27</f>
        <v/>
      </c>
      <c r="AM27" s="26">
        <f>Returns_data!AM27</f>
        <v/>
      </c>
      <c r="AN27" s="26">
        <f>Returns_data!AN27</f>
        <v/>
      </c>
    </row>
    <row r="28">
      <c r="A28" s="24" t="inlineStr">
        <is>
          <t>2017-03-01</t>
        </is>
      </c>
      <c r="B28" s="26">
        <f>Returns_data!R28</f>
        <v/>
      </c>
      <c r="C28" s="26">
        <f>Returns_data!Z28</f>
        <v/>
      </c>
      <c r="D28" s="26">
        <f>Returns_data!C28</f>
        <v/>
      </c>
      <c r="E28" s="26">
        <f>Returns_data!D28</f>
        <v/>
      </c>
      <c r="F28" s="26">
        <f>Returns_data!AC28</f>
        <v/>
      </c>
      <c r="G28" s="26">
        <f>Returns_data!E28</f>
        <v/>
      </c>
      <c r="H28" s="26">
        <f>Returns_data!V28</f>
        <v/>
      </c>
      <c r="I28" s="26">
        <f>Returns_data!G28</f>
        <v/>
      </c>
      <c r="J28" s="26">
        <f>Returns_data!O28</f>
        <v/>
      </c>
      <c r="K28" s="26">
        <f>Returns_data!Q28</f>
        <v/>
      </c>
      <c r="L28" s="26">
        <f>Returns_data!H28</f>
        <v/>
      </c>
      <c r="M28" s="26">
        <f>Returns_data!K28</f>
        <v/>
      </c>
      <c r="N28" s="26">
        <f>Returns_data!B28</f>
        <v/>
      </c>
      <c r="O28" s="26">
        <f>Returns_data!F28</f>
        <v/>
      </c>
      <c r="P28" s="26">
        <f>Returns_data!I28</f>
        <v/>
      </c>
      <c r="Q28" s="26">
        <f>Returns_data!J28</f>
        <v/>
      </c>
      <c r="R28" s="26">
        <f>Returns_data!L28</f>
        <v/>
      </c>
      <c r="S28" s="26">
        <f>Returns_data!M28</f>
        <v/>
      </c>
      <c r="T28" s="26">
        <f>Returns_data!N28</f>
        <v/>
      </c>
      <c r="U28" s="26">
        <f>Returns_data!P28</f>
        <v/>
      </c>
      <c r="V28" s="26">
        <f>Returns_data!S28</f>
        <v/>
      </c>
      <c r="W28" s="26">
        <f>Returns_data!T28</f>
        <v/>
      </c>
      <c r="X28" s="26">
        <f>Returns_data!U28</f>
        <v/>
      </c>
      <c r="Y28" s="26">
        <f>Returns_data!W28</f>
        <v/>
      </c>
      <c r="Z28" s="26">
        <f>Returns_data!X28</f>
        <v/>
      </c>
      <c r="AA28" s="26">
        <f>Returns_data!Y28</f>
        <v/>
      </c>
      <c r="AB28" s="26">
        <f>Returns_data!AA28</f>
        <v/>
      </c>
      <c r="AC28" s="26">
        <f>Returns_data!AB28</f>
        <v/>
      </c>
      <c r="AD28" s="26">
        <f>Returns_data!AD28</f>
        <v/>
      </c>
      <c r="AE28" s="26">
        <f>Returns_data!AE28</f>
        <v/>
      </c>
      <c r="AF28" s="26">
        <f>Returns_data!AF28</f>
        <v/>
      </c>
      <c r="AG28" s="26">
        <f>Returns_data!AG28</f>
        <v/>
      </c>
      <c r="AH28" s="26">
        <f>Returns_data!AH28</f>
        <v/>
      </c>
      <c r="AI28" s="26">
        <f>Returns_data!AI28</f>
        <v/>
      </c>
      <c r="AJ28" s="26">
        <f>Returns_data!AJ28</f>
        <v/>
      </c>
      <c r="AK28" s="26">
        <f>Returns_data!AK28</f>
        <v/>
      </c>
      <c r="AL28" s="26">
        <f>Returns_data!AL28</f>
        <v/>
      </c>
      <c r="AM28" s="26">
        <f>Returns_data!AM28</f>
        <v/>
      </c>
      <c r="AN28" s="26">
        <f>Returns_data!AN28</f>
        <v/>
      </c>
    </row>
    <row r="29">
      <c r="A29" s="24" t="inlineStr">
        <is>
          <t>2017-04-01</t>
        </is>
      </c>
      <c r="B29" s="26">
        <f>Returns_data!R29</f>
        <v/>
      </c>
      <c r="C29" s="26">
        <f>Returns_data!Z29</f>
        <v/>
      </c>
      <c r="D29" s="26">
        <f>Returns_data!C29</f>
        <v/>
      </c>
      <c r="E29" s="26">
        <f>Returns_data!D29</f>
        <v/>
      </c>
      <c r="F29" s="26">
        <f>Returns_data!AC29</f>
        <v/>
      </c>
      <c r="G29" s="26">
        <f>Returns_data!E29</f>
        <v/>
      </c>
      <c r="H29" s="26">
        <f>Returns_data!V29</f>
        <v/>
      </c>
      <c r="I29" s="26">
        <f>Returns_data!G29</f>
        <v/>
      </c>
      <c r="J29" s="26">
        <f>Returns_data!O29</f>
        <v/>
      </c>
      <c r="K29" s="26">
        <f>Returns_data!Q29</f>
        <v/>
      </c>
      <c r="L29" s="26">
        <f>Returns_data!H29</f>
        <v/>
      </c>
      <c r="M29" s="26">
        <f>Returns_data!K29</f>
        <v/>
      </c>
      <c r="N29" s="26">
        <f>Returns_data!B29</f>
        <v/>
      </c>
      <c r="O29" s="26">
        <f>Returns_data!F29</f>
        <v/>
      </c>
      <c r="P29" s="26">
        <f>Returns_data!I29</f>
        <v/>
      </c>
      <c r="Q29" s="26">
        <f>Returns_data!J29</f>
        <v/>
      </c>
      <c r="R29" s="26">
        <f>Returns_data!L29</f>
        <v/>
      </c>
      <c r="S29" s="26">
        <f>Returns_data!M29</f>
        <v/>
      </c>
      <c r="T29" s="26">
        <f>Returns_data!N29</f>
        <v/>
      </c>
      <c r="U29" s="26">
        <f>Returns_data!P29</f>
        <v/>
      </c>
      <c r="V29" s="26">
        <f>Returns_data!S29</f>
        <v/>
      </c>
      <c r="W29" s="26">
        <f>Returns_data!T29</f>
        <v/>
      </c>
      <c r="X29" s="26">
        <f>Returns_data!U29</f>
        <v/>
      </c>
      <c r="Y29" s="26">
        <f>Returns_data!W29</f>
        <v/>
      </c>
      <c r="Z29" s="26">
        <f>Returns_data!X29</f>
        <v/>
      </c>
      <c r="AA29" s="26">
        <f>Returns_data!Y29</f>
        <v/>
      </c>
      <c r="AB29" s="26">
        <f>Returns_data!AA29</f>
        <v/>
      </c>
      <c r="AC29" s="26">
        <f>Returns_data!AB29</f>
        <v/>
      </c>
      <c r="AD29" s="26">
        <f>Returns_data!AD29</f>
        <v/>
      </c>
      <c r="AE29" s="26">
        <f>Returns_data!AE29</f>
        <v/>
      </c>
      <c r="AF29" s="26">
        <f>Returns_data!AF29</f>
        <v/>
      </c>
      <c r="AG29" s="26">
        <f>Returns_data!AG29</f>
        <v/>
      </c>
      <c r="AH29" s="26">
        <f>Returns_data!AH29</f>
        <v/>
      </c>
      <c r="AI29" s="26">
        <f>Returns_data!AI29</f>
        <v/>
      </c>
      <c r="AJ29" s="26">
        <f>Returns_data!AJ29</f>
        <v/>
      </c>
      <c r="AK29" s="26">
        <f>Returns_data!AK29</f>
        <v/>
      </c>
      <c r="AL29" s="26">
        <f>Returns_data!AL29</f>
        <v/>
      </c>
      <c r="AM29" s="26">
        <f>Returns_data!AM29</f>
        <v/>
      </c>
      <c r="AN29" s="26">
        <f>Returns_data!AN29</f>
        <v/>
      </c>
    </row>
    <row r="30">
      <c r="A30" s="24" t="inlineStr">
        <is>
          <t>2017-05-01</t>
        </is>
      </c>
      <c r="B30" s="26">
        <f>Returns_data!R30</f>
        <v/>
      </c>
      <c r="C30" s="26">
        <f>Returns_data!Z30</f>
        <v/>
      </c>
      <c r="D30" s="26">
        <f>Returns_data!C30</f>
        <v/>
      </c>
      <c r="E30" s="26">
        <f>Returns_data!D30</f>
        <v/>
      </c>
      <c r="F30" s="26">
        <f>Returns_data!AC30</f>
        <v/>
      </c>
      <c r="G30" s="26">
        <f>Returns_data!E30</f>
        <v/>
      </c>
      <c r="H30" s="26">
        <f>Returns_data!V30</f>
        <v/>
      </c>
      <c r="I30" s="26">
        <f>Returns_data!G30</f>
        <v/>
      </c>
      <c r="J30" s="26">
        <f>Returns_data!O30</f>
        <v/>
      </c>
      <c r="K30" s="26">
        <f>Returns_data!Q30</f>
        <v/>
      </c>
      <c r="L30" s="26">
        <f>Returns_data!H30</f>
        <v/>
      </c>
      <c r="M30" s="26">
        <f>Returns_data!K30</f>
        <v/>
      </c>
      <c r="N30" s="26">
        <f>Returns_data!B30</f>
        <v/>
      </c>
      <c r="O30" s="26">
        <f>Returns_data!F30</f>
        <v/>
      </c>
      <c r="P30" s="26">
        <f>Returns_data!I30</f>
        <v/>
      </c>
      <c r="Q30" s="26">
        <f>Returns_data!J30</f>
        <v/>
      </c>
      <c r="R30" s="26">
        <f>Returns_data!L30</f>
        <v/>
      </c>
      <c r="S30" s="26">
        <f>Returns_data!M30</f>
        <v/>
      </c>
      <c r="T30" s="26">
        <f>Returns_data!N30</f>
        <v/>
      </c>
      <c r="U30" s="26">
        <f>Returns_data!P30</f>
        <v/>
      </c>
      <c r="V30" s="26">
        <f>Returns_data!S30</f>
        <v/>
      </c>
      <c r="W30" s="26">
        <f>Returns_data!T30</f>
        <v/>
      </c>
      <c r="X30" s="26">
        <f>Returns_data!U30</f>
        <v/>
      </c>
      <c r="Y30" s="26">
        <f>Returns_data!W30</f>
        <v/>
      </c>
      <c r="Z30" s="26">
        <f>Returns_data!X30</f>
        <v/>
      </c>
      <c r="AA30" s="26">
        <f>Returns_data!Y30</f>
        <v/>
      </c>
      <c r="AB30" s="26">
        <f>Returns_data!AA30</f>
        <v/>
      </c>
      <c r="AC30" s="26">
        <f>Returns_data!AB30</f>
        <v/>
      </c>
      <c r="AD30" s="26">
        <f>Returns_data!AD30</f>
        <v/>
      </c>
      <c r="AE30" s="26">
        <f>Returns_data!AE30</f>
        <v/>
      </c>
      <c r="AF30" s="26">
        <f>Returns_data!AF30</f>
        <v/>
      </c>
      <c r="AG30" s="26">
        <f>Returns_data!AG30</f>
        <v/>
      </c>
      <c r="AH30" s="26">
        <f>Returns_data!AH30</f>
        <v/>
      </c>
      <c r="AI30" s="26">
        <f>Returns_data!AI30</f>
        <v/>
      </c>
      <c r="AJ30" s="26">
        <f>Returns_data!AJ30</f>
        <v/>
      </c>
      <c r="AK30" s="26">
        <f>Returns_data!AK30</f>
        <v/>
      </c>
      <c r="AL30" s="26">
        <f>Returns_data!AL30</f>
        <v/>
      </c>
      <c r="AM30" s="26">
        <f>Returns_data!AM30</f>
        <v/>
      </c>
      <c r="AN30" s="26">
        <f>Returns_data!AN30</f>
        <v/>
      </c>
    </row>
    <row r="31">
      <c r="A31" s="24" t="inlineStr">
        <is>
          <t>2017-06-01</t>
        </is>
      </c>
      <c r="B31" s="26">
        <f>Returns_data!R31</f>
        <v/>
      </c>
      <c r="C31" s="26">
        <f>Returns_data!Z31</f>
        <v/>
      </c>
      <c r="D31" s="26">
        <f>Returns_data!C31</f>
        <v/>
      </c>
      <c r="E31" s="26">
        <f>Returns_data!D31</f>
        <v/>
      </c>
      <c r="F31" s="26">
        <f>Returns_data!AC31</f>
        <v/>
      </c>
      <c r="G31" s="26">
        <f>Returns_data!E31</f>
        <v/>
      </c>
      <c r="H31" s="26">
        <f>Returns_data!V31</f>
        <v/>
      </c>
      <c r="I31" s="26">
        <f>Returns_data!G31</f>
        <v/>
      </c>
      <c r="J31" s="26">
        <f>Returns_data!O31</f>
        <v/>
      </c>
      <c r="K31" s="26">
        <f>Returns_data!Q31</f>
        <v/>
      </c>
      <c r="L31" s="26">
        <f>Returns_data!H31</f>
        <v/>
      </c>
      <c r="M31" s="26">
        <f>Returns_data!K31</f>
        <v/>
      </c>
      <c r="N31" s="26">
        <f>Returns_data!B31</f>
        <v/>
      </c>
      <c r="O31" s="26">
        <f>Returns_data!F31</f>
        <v/>
      </c>
      <c r="P31" s="26">
        <f>Returns_data!I31</f>
        <v/>
      </c>
      <c r="Q31" s="26">
        <f>Returns_data!J31</f>
        <v/>
      </c>
      <c r="R31" s="26">
        <f>Returns_data!L31</f>
        <v/>
      </c>
      <c r="S31" s="26">
        <f>Returns_data!M31</f>
        <v/>
      </c>
      <c r="T31" s="26">
        <f>Returns_data!N31</f>
        <v/>
      </c>
      <c r="U31" s="26">
        <f>Returns_data!P31</f>
        <v/>
      </c>
      <c r="V31" s="26">
        <f>Returns_data!S31</f>
        <v/>
      </c>
      <c r="W31" s="26">
        <f>Returns_data!T31</f>
        <v/>
      </c>
      <c r="X31" s="26">
        <f>Returns_data!U31</f>
        <v/>
      </c>
      <c r="Y31" s="26">
        <f>Returns_data!W31</f>
        <v/>
      </c>
      <c r="Z31" s="26">
        <f>Returns_data!X31</f>
        <v/>
      </c>
      <c r="AA31" s="26">
        <f>Returns_data!Y31</f>
        <v/>
      </c>
      <c r="AB31" s="26">
        <f>Returns_data!AA31</f>
        <v/>
      </c>
      <c r="AC31" s="26">
        <f>Returns_data!AB31</f>
        <v/>
      </c>
      <c r="AD31" s="26">
        <f>Returns_data!AD31</f>
        <v/>
      </c>
      <c r="AE31" s="26">
        <f>Returns_data!AE31</f>
        <v/>
      </c>
      <c r="AF31" s="26">
        <f>Returns_data!AF31</f>
        <v/>
      </c>
      <c r="AG31" s="26">
        <f>Returns_data!AG31</f>
        <v/>
      </c>
      <c r="AH31" s="26">
        <f>Returns_data!AH31</f>
        <v/>
      </c>
      <c r="AI31" s="26">
        <f>Returns_data!AI31</f>
        <v/>
      </c>
      <c r="AJ31" s="26">
        <f>Returns_data!AJ31</f>
        <v/>
      </c>
      <c r="AK31" s="26">
        <f>Returns_data!AK31</f>
        <v/>
      </c>
      <c r="AL31" s="26">
        <f>Returns_data!AL31</f>
        <v/>
      </c>
      <c r="AM31" s="26">
        <f>Returns_data!AM31</f>
        <v/>
      </c>
      <c r="AN31" s="26">
        <f>Returns_data!AN31</f>
        <v/>
      </c>
    </row>
    <row r="32">
      <c r="A32" s="24" t="inlineStr">
        <is>
          <t>2017-07-01</t>
        </is>
      </c>
      <c r="B32" s="26">
        <f>Returns_data!R32</f>
        <v/>
      </c>
      <c r="C32" s="26">
        <f>Returns_data!Z32</f>
        <v/>
      </c>
      <c r="D32" s="26">
        <f>Returns_data!C32</f>
        <v/>
      </c>
      <c r="E32" s="26">
        <f>Returns_data!D32</f>
        <v/>
      </c>
      <c r="F32" s="26">
        <f>Returns_data!AC32</f>
        <v/>
      </c>
      <c r="G32" s="26">
        <f>Returns_data!E32</f>
        <v/>
      </c>
      <c r="H32" s="26">
        <f>Returns_data!V32</f>
        <v/>
      </c>
      <c r="I32" s="26">
        <f>Returns_data!G32</f>
        <v/>
      </c>
      <c r="J32" s="26">
        <f>Returns_data!O32</f>
        <v/>
      </c>
      <c r="K32" s="26">
        <f>Returns_data!Q32</f>
        <v/>
      </c>
      <c r="L32" s="26">
        <f>Returns_data!H32</f>
        <v/>
      </c>
      <c r="M32" s="26">
        <f>Returns_data!K32</f>
        <v/>
      </c>
      <c r="N32" s="26">
        <f>Returns_data!B32</f>
        <v/>
      </c>
      <c r="O32" s="26">
        <f>Returns_data!F32</f>
        <v/>
      </c>
      <c r="P32" s="26">
        <f>Returns_data!I32</f>
        <v/>
      </c>
      <c r="Q32" s="26">
        <f>Returns_data!J32</f>
        <v/>
      </c>
      <c r="R32" s="26">
        <f>Returns_data!L32</f>
        <v/>
      </c>
      <c r="S32" s="26">
        <f>Returns_data!M32</f>
        <v/>
      </c>
      <c r="T32" s="26">
        <f>Returns_data!N32</f>
        <v/>
      </c>
      <c r="U32" s="26">
        <f>Returns_data!P32</f>
        <v/>
      </c>
      <c r="V32" s="26">
        <f>Returns_data!S32</f>
        <v/>
      </c>
      <c r="W32" s="26">
        <f>Returns_data!T32</f>
        <v/>
      </c>
      <c r="X32" s="26">
        <f>Returns_data!U32</f>
        <v/>
      </c>
      <c r="Y32" s="26">
        <f>Returns_data!W32</f>
        <v/>
      </c>
      <c r="Z32" s="26">
        <f>Returns_data!X32</f>
        <v/>
      </c>
      <c r="AA32" s="26">
        <f>Returns_data!Y32</f>
        <v/>
      </c>
      <c r="AB32" s="26">
        <f>Returns_data!AA32</f>
        <v/>
      </c>
      <c r="AC32" s="26">
        <f>Returns_data!AB32</f>
        <v/>
      </c>
      <c r="AD32" s="26">
        <f>Returns_data!AD32</f>
        <v/>
      </c>
      <c r="AE32" s="26">
        <f>Returns_data!AE32</f>
        <v/>
      </c>
      <c r="AF32" s="26">
        <f>Returns_data!AF32</f>
        <v/>
      </c>
      <c r="AG32" s="26">
        <f>Returns_data!AG32</f>
        <v/>
      </c>
      <c r="AH32" s="26">
        <f>Returns_data!AH32</f>
        <v/>
      </c>
      <c r="AI32" s="26">
        <f>Returns_data!AI32</f>
        <v/>
      </c>
      <c r="AJ32" s="26">
        <f>Returns_data!AJ32</f>
        <v/>
      </c>
      <c r="AK32" s="26">
        <f>Returns_data!AK32</f>
        <v/>
      </c>
      <c r="AL32" s="26">
        <f>Returns_data!AL32</f>
        <v/>
      </c>
      <c r="AM32" s="26">
        <f>Returns_data!AM32</f>
        <v/>
      </c>
      <c r="AN32" s="26">
        <f>Returns_data!AN32</f>
        <v/>
      </c>
    </row>
    <row r="33">
      <c r="A33" s="24" t="inlineStr">
        <is>
          <t>2017-08-01</t>
        </is>
      </c>
      <c r="B33" s="26">
        <f>Returns_data!R33</f>
        <v/>
      </c>
      <c r="C33" s="26">
        <f>Returns_data!Z33</f>
        <v/>
      </c>
      <c r="D33" s="26">
        <f>Returns_data!C33</f>
        <v/>
      </c>
      <c r="E33" s="26">
        <f>Returns_data!D33</f>
        <v/>
      </c>
      <c r="F33" s="26">
        <f>Returns_data!AC33</f>
        <v/>
      </c>
      <c r="G33" s="26">
        <f>Returns_data!E33</f>
        <v/>
      </c>
      <c r="H33" s="26">
        <f>Returns_data!V33</f>
        <v/>
      </c>
      <c r="I33" s="26">
        <f>Returns_data!G33</f>
        <v/>
      </c>
      <c r="J33" s="26">
        <f>Returns_data!O33</f>
        <v/>
      </c>
      <c r="K33" s="26">
        <f>Returns_data!Q33</f>
        <v/>
      </c>
      <c r="L33" s="26">
        <f>Returns_data!H33</f>
        <v/>
      </c>
      <c r="M33" s="26">
        <f>Returns_data!K33</f>
        <v/>
      </c>
      <c r="N33" s="26">
        <f>Returns_data!B33</f>
        <v/>
      </c>
      <c r="O33" s="26">
        <f>Returns_data!F33</f>
        <v/>
      </c>
      <c r="P33" s="26">
        <f>Returns_data!I33</f>
        <v/>
      </c>
      <c r="Q33" s="26">
        <f>Returns_data!J33</f>
        <v/>
      </c>
      <c r="R33" s="26">
        <f>Returns_data!L33</f>
        <v/>
      </c>
      <c r="S33" s="26">
        <f>Returns_data!M33</f>
        <v/>
      </c>
      <c r="T33" s="26">
        <f>Returns_data!N33</f>
        <v/>
      </c>
      <c r="U33" s="26">
        <f>Returns_data!P33</f>
        <v/>
      </c>
      <c r="V33" s="26">
        <f>Returns_data!S33</f>
        <v/>
      </c>
      <c r="W33" s="26">
        <f>Returns_data!T33</f>
        <v/>
      </c>
      <c r="X33" s="26">
        <f>Returns_data!U33</f>
        <v/>
      </c>
      <c r="Y33" s="26">
        <f>Returns_data!W33</f>
        <v/>
      </c>
      <c r="Z33" s="26">
        <f>Returns_data!X33</f>
        <v/>
      </c>
      <c r="AA33" s="26">
        <f>Returns_data!Y33</f>
        <v/>
      </c>
      <c r="AB33" s="26">
        <f>Returns_data!AA33</f>
        <v/>
      </c>
      <c r="AC33" s="26">
        <f>Returns_data!AB33</f>
        <v/>
      </c>
      <c r="AD33" s="26">
        <f>Returns_data!AD33</f>
        <v/>
      </c>
      <c r="AE33" s="26">
        <f>Returns_data!AE33</f>
        <v/>
      </c>
      <c r="AF33" s="26">
        <f>Returns_data!AF33</f>
        <v/>
      </c>
      <c r="AG33" s="26">
        <f>Returns_data!AG33</f>
        <v/>
      </c>
      <c r="AH33" s="26">
        <f>Returns_data!AH33</f>
        <v/>
      </c>
      <c r="AI33" s="26">
        <f>Returns_data!AI33</f>
        <v/>
      </c>
      <c r="AJ33" s="26">
        <f>Returns_data!AJ33</f>
        <v/>
      </c>
      <c r="AK33" s="26">
        <f>Returns_data!AK33</f>
        <v/>
      </c>
      <c r="AL33" s="26">
        <f>Returns_data!AL33</f>
        <v/>
      </c>
      <c r="AM33" s="26">
        <f>Returns_data!AM33</f>
        <v/>
      </c>
      <c r="AN33" s="26">
        <f>Returns_data!AN33</f>
        <v/>
      </c>
    </row>
    <row r="34">
      <c r="A34" s="24" t="inlineStr">
        <is>
          <t>2017-09-01</t>
        </is>
      </c>
      <c r="B34" s="26">
        <f>Returns_data!R34</f>
        <v/>
      </c>
      <c r="C34" s="26">
        <f>Returns_data!Z34</f>
        <v/>
      </c>
      <c r="D34" s="26">
        <f>Returns_data!C34</f>
        <v/>
      </c>
      <c r="E34" s="26">
        <f>Returns_data!D34</f>
        <v/>
      </c>
      <c r="F34" s="26">
        <f>Returns_data!AC34</f>
        <v/>
      </c>
      <c r="G34" s="26">
        <f>Returns_data!E34</f>
        <v/>
      </c>
      <c r="H34" s="26">
        <f>Returns_data!V34</f>
        <v/>
      </c>
      <c r="I34" s="26">
        <f>Returns_data!G34</f>
        <v/>
      </c>
      <c r="J34" s="26">
        <f>Returns_data!O34</f>
        <v/>
      </c>
      <c r="K34" s="26">
        <f>Returns_data!Q34</f>
        <v/>
      </c>
      <c r="L34" s="26">
        <f>Returns_data!H34</f>
        <v/>
      </c>
      <c r="M34" s="26">
        <f>Returns_data!K34</f>
        <v/>
      </c>
      <c r="N34" s="26">
        <f>Returns_data!B34</f>
        <v/>
      </c>
      <c r="O34" s="26">
        <f>Returns_data!F34</f>
        <v/>
      </c>
      <c r="P34" s="26">
        <f>Returns_data!I34</f>
        <v/>
      </c>
      <c r="Q34" s="26">
        <f>Returns_data!J34</f>
        <v/>
      </c>
      <c r="R34" s="26">
        <f>Returns_data!L34</f>
        <v/>
      </c>
      <c r="S34" s="26">
        <f>Returns_data!M34</f>
        <v/>
      </c>
      <c r="T34" s="26">
        <f>Returns_data!N34</f>
        <v/>
      </c>
      <c r="U34" s="26">
        <f>Returns_data!P34</f>
        <v/>
      </c>
      <c r="V34" s="26">
        <f>Returns_data!S34</f>
        <v/>
      </c>
      <c r="W34" s="26">
        <f>Returns_data!T34</f>
        <v/>
      </c>
      <c r="X34" s="26">
        <f>Returns_data!U34</f>
        <v/>
      </c>
      <c r="Y34" s="26">
        <f>Returns_data!W34</f>
        <v/>
      </c>
      <c r="Z34" s="26">
        <f>Returns_data!X34</f>
        <v/>
      </c>
      <c r="AA34" s="26">
        <f>Returns_data!Y34</f>
        <v/>
      </c>
      <c r="AB34" s="26">
        <f>Returns_data!AA34</f>
        <v/>
      </c>
      <c r="AC34" s="26">
        <f>Returns_data!AB34</f>
        <v/>
      </c>
      <c r="AD34" s="26">
        <f>Returns_data!AD34</f>
        <v/>
      </c>
      <c r="AE34" s="26">
        <f>Returns_data!AE34</f>
        <v/>
      </c>
      <c r="AF34" s="26">
        <f>Returns_data!AF34</f>
        <v/>
      </c>
      <c r="AG34" s="26">
        <f>Returns_data!AG34</f>
        <v/>
      </c>
      <c r="AH34" s="26">
        <f>Returns_data!AH34</f>
        <v/>
      </c>
      <c r="AI34" s="26">
        <f>Returns_data!AI34</f>
        <v/>
      </c>
      <c r="AJ34" s="26">
        <f>Returns_data!AJ34</f>
        <v/>
      </c>
      <c r="AK34" s="26">
        <f>Returns_data!AK34</f>
        <v/>
      </c>
      <c r="AL34" s="26">
        <f>Returns_data!AL34</f>
        <v/>
      </c>
      <c r="AM34" s="26">
        <f>Returns_data!AM34</f>
        <v/>
      </c>
      <c r="AN34" s="26">
        <f>Returns_data!AN34</f>
        <v/>
      </c>
    </row>
    <row r="35">
      <c r="A35" s="24" t="inlineStr">
        <is>
          <t>2017-10-01</t>
        </is>
      </c>
      <c r="B35" s="26">
        <f>Returns_data!R35</f>
        <v/>
      </c>
      <c r="C35" s="26">
        <f>Returns_data!Z35</f>
        <v/>
      </c>
      <c r="D35" s="26">
        <f>Returns_data!C35</f>
        <v/>
      </c>
      <c r="E35" s="26">
        <f>Returns_data!D35</f>
        <v/>
      </c>
      <c r="F35" s="26">
        <f>Returns_data!AC35</f>
        <v/>
      </c>
      <c r="G35" s="26">
        <f>Returns_data!E35</f>
        <v/>
      </c>
      <c r="H35" s="26">
        <f>Returns_data!V35</f>
        <v/>
      </c>
      <c r="I35" s="26">
        <f>Returns_data!G35</f>
        <v/>
      </c>
      <c r="J35" s="26">
        <f>Returns_data!O35</f>
        <v/>
      </c>
      <c r="K35" s="26">
        <f>Returns_data!Q35</f>
        <v/>
      </c>
      <c r="L35" s="26">
        <f>Returns_data!H35</f>
        <v/>
      </c>
      <c r="M35" s="26">
        <f>Returns_data!K35</f>
        <v/>
      </c>
      <c r="N35" s="26">
        <f>Returns_data!B35</f>
        <v/>
      </c>
      <c r="O35" s="26">
        <f>Returns_data!F35</f>
        <v/>
      </c>
      <c r="P35" s="26">
        <f>Returns_data!I35</f>
        <v/>
      </c>
      <c r="Q35" s="26">
        <f>Returns_data!J35</f>
        <v/>
      </c>
      <c r="R35" s="26">
        <f>Returns_data!L35</f>
        <v/>
      </c>
      <c r="S35" s="26">
        <f>Returns_data!M35</f>
        <v/>
      </c>
      <c r="T35" s="26">
        <f>Returns_data!N35</f>
        <v/>
      </c>
      <c r="U35" s="26">
        <f>Returns_data!P35</f>
        <v/>
      </c>
      <c r="V35" s="26">
        <f>Returns_data!S35</f>
        <v/>
      </c>
      <c r="W35" s="26">
        <f>Returns_data!T35</f>
        <v/>
      </c>
      <c r="X35" s="26">
        <f>Returns_data!U35</f>
        <v/>
      </c>
      <c r="Y35" s="26">
        <f>Returns_data!W35</f>
        <v/>
      </c>
      <c r="Z35" s="26">
        <f>Returns_data!X35</f>
        <v/>
      </c>
      <c r="AA35" s="26">
        <f>Returns_data!Y35</f>
        <v/>
      </c>
      <c r="AB35" s="26">
        <f>Returns_data!AA35</f>
        <v/>
      </c>
      <c r="AC35" s="26">
        <f>Returns_data!AB35</f>
        <v/>
      </c>
      <c r="AD35" s="26">
        <f>Returns_data!AD35</f>
        <v/>
      </c>
      <c r="AE35" s="26">
        <f>Returns_data!AE35</f>
        <v/>
      </c>
      <c r="AF35" s="26">
        <f>Returns_data!AF35</f>
        <v/>
      </c>
      <c r="AG35" s="26">
        <f>Returns_data!AG35</f>
        <v/>
      </c>
      <c r="AH35" s="26">
        <f>Returns_data!AH35</f>
        <v/>
      </c>
      <c r="AI35" s="26">
        <f>Returns_data!AI35</f>
        <v/>
      </c>
      <c r="AJ35" s="26">
        <f>Returns_data!AJ35</f>
        <v/>
      </c>
      <c r="AK35" s="26">
        <f>Returns_data!AK35</f>
        <v/>
      </c>
      <c r="AL35" s="26">
        <f>Returns_data!AL35</f>
        <v/>
      </c>
      <c r="AM35" s="26">
        <f>Returns_data!AM35</f>
        <v/>
      </c>
      <c r="AN35" s="26">
        <f>Returns_data!AN35</f>
        <v/>
      </c>
    </row>
    <row r="36">
      <c r="A36" s="24" t="inlineStr">
        <is>
          <t>2017-11-01</t>
        </is>
      </c>
      <c r="B36" s="26">
        <f>Returns_data!R36</f>
        <v/>
      </c>
      <c r="C36" s="26">
        <f>Returns_data!Z36</f>
        <v/>
      </c>
      <c r="D36" s="26">
        <f>Returns_data!C36</f>
        <v/>
      </c>
      <c r="E36" s="26">
        <f>Returns_data!D36</f>
        <v/>
      </c>
      <c r="F36" s="26">
        <f>Returns_data!AC36</f>
        <v/>
      </c>
      <c r="G36" s="26">
        <f>Returns_data!E36</f>
        <v/>
      </c>
      <c r="H36" s="26">
        <f>Returns_data!V36</f>
        <v/>
      </c>
      <c r="I36" s="26">
        <f>Returns_data!G36</f>
        <v/>
      </c>
      <c r="J36" s="26">
        <f>Returns_data!O36</f>
        <v/>
      </c>
      <c r="K36" s="26">
        <f>Returns_data!Q36</f>
        <v/>
      </c>
      <c r="L36" s="26">
        <f>Returns_data!H36</f>
        <v/>
      </c>
      <c r="M36" s="26">
        <f>Returns_data!K36</f>
        <v/>
      </c>
      <c r="N36" s="26">
        <f>Returns_data!B36</f>
        <v/>
      </c>
      <c r="O36" s="26">
        <f>Returns_data!F36</f>
        <v/>
      </c>
      <c r="P36" s="26">
        <f>Returns_data!I36</f>
        <v/>
      </c>
      <c r="Q36" s="26">
        <f>Returns_data!J36</f>
        <v/>
      </c>
      <c r="R36" s="26">
        <f>Returns_data!L36</f>
        <v/>
      </c>
      <c r="S36" s="26">
        <f>Returns_data!M36</f>
        <v/>
      </c>
      <c r="T36" s="26">
        <f>Returns_data!N36</f>
        <v/>
      </c>
      <c r="U36" s="26">
        <f>Returns_data!P36</f>
        <v/>
      </c>
      <c r="V36" s="26">
        <f>Returns_data!S36</f>
        <v/>
      </c>
      <c r="W36" s="26">
        <f>Returns_data!T36</f>
        <v/>
      </c>
      <c r="X36" s="26">
        <f>Returns_data!U36</f>
        <v/>
      </c>
      <c r="Y36" s="26">
        <f>Returns_data!W36</f>
        <v/>
      </c>
      <c r="Z36" s="26">
        <f>Returns_data!X36</f>
        <v/>
      </c>
      <c r="AA36" s="26">
        <f>Returns_data!Y36</f>
        <v/>
      </c>
      <c r="AB36" s="26">
        <f>Returns_data!AA36</f>
        <v/>
      </c>
      <c r="AC36" s="26">
        <f>Returns_data!AB36</f>
        <v/>
      </c>
      <c r="AD36" s="26">
        <f>Returns_data!AD36</f>
        <v/>
      </c>
      <c r="AE36" s="26">
        <f>Returns_data!AE36</f>
        <v/>
      </c>
      <c r="AF36" s="26">
        <f>Returns_data!AF36</f>
        <v/>
      </c>
      <c r="AG36" s="26">
        <f>Returns_data!AG36</f>
        <v/>
      </c>
      <c r="AH36" s="26">
        <f>Returns_data!AH36</f>
        <v/>
      </c>
      <c r="AI36" s="26">
        <f>Returns_data!AI36</f>
        <v/>
      </c>
      <c r="AJ36" s="26">
        <f>Returns_data!AJ36</f>
        <v/>
      </c>
      <c r="AK36" s="26">
        <f>Returns_data!AK36</f>
        <v/>
      </c>
      <c r="AL36" s="26">
        <f>Returns_data!AL36</f>
        <v/>
      </c>
      <c r="AM36" s="26">
        <f>Returns_data!AM36</f>
        <v/>
      </c>
      <c r="AN36" s="26">
        <f>Returns_data!AN36</f>
        <v/>
      </c>
    </row>
    <row r="37">
      <c r="A37" s="24" t="inlineStr">
        <is>
          <t>2017-12-01</t>
        </is>
      </c>
      <c r="B37" s="26">
        <f>Returns_data!R37</f>
        <v/>
      </c>
      <c r="C37" s="26">
        <f>Returns_data!Z37</f>
        <v/>
      </c>
      <c r="D37" s="26">
        <f>Returns_data!C37</f>
        <v/>
      </c>
      <c r="E37" s="26">
        <f>Returns_data!D37</f>
        <v/>
      </c>
      <c r="F37" s="26">
        <f>Returns_data!AC37</f>
        <v/>
      </c>
      <c r="G37" s="26">
        <f>Returns_data!E37</f>
        <v/>
      </c>
      <c r="H37" s="26">
        <f>Returns_data!V37</f>
        <v/>
      </c>
      <c r="I37" s="26">
        <f>Returns_data!G37</f>
        <v/>
      </c>
      <c r="J37" s="26">
        <f>Returns_data!O37</f>
        <v/>
      </c>
      <c r="K37" s="26">
        <f>Returns_data!Q37</f>
        <v/>
      </c>
      <c r="L37" s="26">
        <f>Returns_data!H37</f>
        <v/>
      </c>
      <c r="M37" s="26">
        <f>Returns_data!K37</f>
        <v/>
      </c>
      <c r="N37" s="26">
        <f>Returns_data!B37</f>
        <v/>
      </c>
      <c r="O37" s="26">
        <f>Returns_data!F37</f>
        <v/>
      </c>
      <c r="P37" s="26">
        <f>Returns_data!I37</f>
        <v/>
      </c>
      <c r="Q37" s="26">
        <f>Returns_data!J37</f>
        <v/>
      </c>
      <c r="R37" s="26">
        <f>Returns_data!L37</f>
        <v/>
      </c>
      <c r="S37" s="26">
        <f>Returns_data!M37</f>
        <v/>
      </c>
      <c r="T37" s="26">
        <f>Returns_data!N37</f>
        <v/>
      </c>
      <c r="U37" s="26">
        <f>Returns_data!P37</f>
        <v/>
      </c>
      <c r="V37" s="26">
        <f>Returns_data!S37</f>
        <v/>
      </c>
      <c r="W37" s="26">
        <f>Returns_data!T37</f>
        <v/>
      </c>
      <c r="X37" s="26">
        <f>Returns_data!U37</f>
        <v/>
      </c>
      <c r="Y37" s="26">
        <f>Returns_data!W37</f>
        <v/>
      </c>
      <c r="Z37" s="26">
        <f>Returns_data!X37</f>
        <v/>
      </c>
      <c r="AA37" s="26">
        <f>Returns_data!Y37</f>
        <v/>
      </c>
      <c r="AB37" s="26">
        <f>Returns_data!AA37</f>
        <v/>
      </c>
      <c r="AC37" s="26">
        <f>Returns_data!AB37</f>
        <v/>
      </c>
      <c r="AD37" s="26">
        <f>Returns_data!AD37</f>
        <v/>
      </c>
      <c r="AE37" s="26">
        <f>Returns_data!AE37</f>
        <v/>
      </c>
      <c r="AF37" s="26">
        <f>Returns_data!AF37</f>
        <v/>
      </c>
      <c r="AG37" s="26">
        <f>Returns_data!AG37</f>
        <v/>
      </c>
      <c r="AH37" s="26">
        <f>Returns_data!AH37</f>
        <v/>
      </c>
      <c r="AI37" s="26">
        <f>Returns_data!AI37</f>
        <v/>
      </c>
      <c r="AJ37" s="26">
        <f>Returns_data!AJ37</f>
        <v/>
      </c>
      <c r="AK37" s="26">
        <f>Returns_data!AK37</f>
        <v/>
      </c>
      <c r="AL37" s="26">
        <f>Returns_data!AL37</f>
        <v/>
      </c>
      <c r="AM37" s="26">
        <f>Returns_data!AM37</f>
        <v/>
      </c>
      <c r="AN37" s="26">
        <f>Returns_data!AN37</f>
        <v/>
      </c>
    </row>
    <row r="38">
      <c r="A38" s="24" t="inlineStr">
        <is>
          <t>2018-01-01</t>
        </is>
      </c>
      <c r="B38" s="26">
        <f>Returns_data!R38</f>
        <v/>
      </c>
      <c r="C38" s="26">
        <f>Returns_data!Z38</f>
        <v/>
      </c>
      <c r="D38" s="26">
        <f>Returns_data!C38</f>
        <v/>
      </c>
      <c r="E38" s="26">
        <f>Returns_data!D38</f>
        <v/>
      </c>
      <c r="F38" s="26">
        <f>Returns_data!AC38</f>
        <v/>
      </c>
      <c r="G38" s="26">
        <f>Returns_data!E38</f>
        <v/>
      </c>
      <c r="H38" s="26">
        <f>Returns_data!V38</f>
        <v/>
      </c>
      <c r="I38" s="26">
        <f>Returns_data!G38</f>
        <v/>
      </c>
      <c r="J38" s="26">
        <f>Returns_data!O38</f>
        <v/>
      </c>
      <c r="K38" s="26">
        <f>Returns_data!Q38</f>
        <v/>
      </c>
      <c r="L38" s="26">
        <f>Returns_data!H38</f>
        <v/>
      </c>
      <c r="M38" s="26">
        <f>Returns_data!K38</f>
        <v/>
      </c>
      <c r="N38" s="26">
        <f>Returns_data!B38</f>
        <v/>
      </c>
      <c r="O38" s="26">
        <f>Returns_data!F38</f>
        <v/>
      </c>
      <c r="P38" s="26">
        <f>Returns_data!I38</f>
        <v/>
      </c>
      <c r="Q38" s="26">
        <f>Returns_data!J38</f>
        <v/>
      </c>
      <c r="R38" s="26">
        <f>Returns_data!L38</f>
        <v/>
      </c>
      <c r="S38" s="26">
        <f>Returns_data!M38</f>
        <v/>
      </c>
      <c r="T38" s="26">
        <f>Returns_data!N38</f>
        <v/>
      </c>
      <c r="U38" s="26">
        <f>Returns_data!P38</f>
        <v/>
      </c>
      <c r="V38" s="26">
        <f>Returns_data!S38</f>
        <v/>
      </c>
      <c r="W38" s="26">
        <f>Returns_data!T38</f>
        <v/>
      </c>
      <c r="X38" s="26">
        <f>Returns_data!U38</f>
        <v/>
      </c>
      <c r="Y38" s="26">
        <f>Returns_data!W38</f>
        <v/>
      </c>
      <c r="Z38" s="26">
        <f>Returns_data!X38</f>
        <v/>
      </c>
      <c r="AA38" s="26">
        <f>Returns_data!Y38</f>
        <v/>
      </c>
      <c r="AB38" s="26">
        <f>Returns_data!AA38</f>
        <v/>
      </c>
      <c r="AC38" s="26">
        <f>Returns_data!AB38</f>
        <v/>
      </c>
      <c r="AD38" s="26">
        <f>Returns_data!AD38</f>
        <v/>
      </c>
      <c r="AE38" s="26">
        <f>Returns_data!AE38</f>
        <v/>
      </c>
      <c r="AF38" s="26">
        <f>Returns_data!AF38</f>
        <v/>
      </c>
      <c r="AG38" s="26">
        <f>Returns_data!AG38</f>
        <v/>
      </c>
      <c r="AH38" s="26">
        <f>Returns_data!AH38</f>
        <v/>
      </c>
      <c r="AI38" s="26">
        <f>Returns_data!AI38</f>
        <v/>
      </c>
      <c r="AJ38" s="26">
        <f>Returns_data!AJ38</f>
        <v/>
      </c>
      <c r="AK38" s="26">
        <f>Returns_data!AK38</f>
        <v/>
      </c>
      <c r="AL38" s="26">
        <f>Returns_data!AL38</f>
        <v/>
      </c>
      <c r="AM38" s="26">
        <f>Returns_data!AM38</f>
        <v/>
      </c>
      <c r="AN38" s="26">
        <f>Returns_data!AN38</f>
        <v/>
      </c>
    </row>
    <row r="39">
      <c r="A39" s="24" t="inlineStr">
        <is>
          <t>2018-02-01</t>
        </is>
      </c>
      <c r="B39" s="26">
        <f>Returns_data!R39</f>
        <v/>
      </c>
      <c r="C39" s="26">
        <f>Returns_data!Z39</f>
        <v/>
      </c>
      <c r="D39" s="26">
        <f>Returns_data!C39</f>
        <v/>
      </c>
      <c r="E39" s="26">
        <f>Returns_data!D39</f>
        <v/>
      </c>
      <c r="F39" s="26">
        <f>Returns_data!AC39</f>
        <v/>
      </c>
      <c r="G39" s="26">
        <f>Returns_data!E39</f>
        <v/>
      </c>
      <c r="H39" s="26">
        <f>Returns_data!V39</f>
        <v/>
      </c>
      <c r="I39" s="26">
        <f>Returns_data!G39</f>
        <v/>
      </c>
      <c r="J39" s="26">
        <f>Returns_data!O39</f>
        <v/>
      </c>
      <c r="K39" s="26">
        <f>Returns_data!Q39</f>
        <v/>
      </c>
      <c r="L39" s="26">
        <f>Returns_data!H39</f>
        <v/>
      </c>
      <c r="M39" s="26">
        <f>Returns_data!K39</f>
        <v/>
      </c>
      <c r="N39" s="26">
        <f>Returns_data!B39</f>
        <v/>
      </c>
      <c r="O39" s="26">
        <f>Returns_data!F39</f>
        <v/>
      </c>
      <c r="P39" s="26">
        <f>Returns_data!I39</f>
        <v/>
      </c>
      <c r="Q39" s="26">
        <f>Returns_data!J39</f>
        <v/>
      </c>
      <c r="R39" s="26">
        <f>Returns_data!L39</f>
        <v/>
      </c>
      <c r="S39" s="26">
        <f>Returns_data!M39</f>
        <v/>
      </c>
      <c r="T39" s="26">
        <f>Returns_data!N39</f>
        <v/>
      </c>
      <c r="U39" s="26">
        <f>Returns_data!P39</f>
        <v/>
      </c>
      <c r="V39" s="26">
        <f>Returns_data!S39</f>
        <v/>
      </c>
      <c r="W39" s="26">
        <f>Returns_data!T39</f>
        <v/>
      </c>
      <c r="X39" s="26">
        <f>Returns_data!U39</f>
        <v/>
      </c>
      <c r="Y39" s="26">
        <f>Returns_data!W39</f>
        <v/>
      </c>
      <c r="Z39" s="26">
        <f>Returns_data!X39</f>
        <v/>
      </c>
      <c r="AA39" s="26">
        <f>Returns_data!Y39</f>
        <v/>
      </c>
      <c r="AB39" s="26">
        <f>Returns_data!AA39</f>
        <v/>
      </c>
      <c r="AC39" s="26">
        <f>Returns_data!AB39</f>
        <v/>
      </c>
      <c r="AD39" s="26">
        <f>Returns_data!AD39</f>
        <v/>
      </c>
      <c r="AE39" s="26">
        <f>Returns_data!AE39</f>
        <v/>
      </c>
      <c r="AF39" s="26">
        <f>Returns_data!AF39</f>
        <v/>
      </c>
      <c r="AG39" s="26">
        <f>Returns_data!AG39</f>
        <v/>
      </c>
      <c r="AH39" s="26">
        <f>Returns_data!AH39</f>
        <v/>
      </c>
      <c r="AI39" s="26">
        <f>Returns_data!AI39</f>
        <v/>
      </c>
      <c r="AJ39" s="26">
        <f>Returns_data!AJ39</f>
        <v/>
      </c>
      <c r="AK39" s="26">
        <f>Returns_data!AK39</f>
        <v/>
      </c>
      <c r="AL39" s="26">
        <f>Returns_data!AL39</f>
        <v/>
      </c>
      <c r="AM39" s="26">
        <f>Returns_data!AM39</f>
        <v/>
      </c>
      <c r="AN39" s="26">
        <f>Returns_data!AN39</f>
        <v/>
      </c>
    </row>
    <row r="40">
      <c r="A40" s="24" t="inlineStr">
        <is>
          <t>2018-03-01</t>
        </is>
      </c>
      <c r="B40" s="26">
        <f>Returns_data!R40</f>
        <v/>
      </c>
      <c r="C40" s="26">
        <f>Returns_data!Z40</f>
        <v/>
      </c>
      <c r="D40" s="26">
        <f>Returns_data!C40</f>
        <v/>
      </c>
      <c r="E40" s="26">
        <f>Returns_data!D40</f>
        <v/>
      </c>
      <c r="F40" s="26">
        <f>Returns_data!AC40</f>
        <v/>
      </c>
      <c r="G40" s="26">
        <f>Returns_data!E40</f>
        <v/>
      </c>
      <c r="H40" s="26">
        <f>Returns_data!V40</f>
        <v/>
      </c>
      <c r="I40" s="26">
        <f>Returns_data!G40</f>
        <v/>
      </c>
      <c r="J40" s="26">
        <f>Returns_data!O40</f>
        <v/>
      </c>
      <c r="K40" s="26">
        <f>Returns_data!Q40</f>
        <v/>
      </c>
      <c r="L40" s="26">
        <f>Returns_data!H40</f>
        <v/>
      </c>
      <c r="M40" s="26">
        <f>Returns_data!K40</f>
        <v/>
      </c>
      <c r="N40" s="26">
        <f>Returns_data!B40</f>
        <v/>
      </c>
      <c r="O40" s="26">
        <f>Returns_data!F40</f>
        <v/>
      </c>
      <c r="P40" s="26">
        <f>Returns_data!I40</f>
        <v/>
      </c>
      <c r="Q40" s="26">
        <f>Returns_data!J40</f>
        <v/>
      </c>
      <c r="R40" s="26">
        <f>Returns_data!L40</f>
        <v/>
      </c>
      <c r="S40" s="26">
        <f>Returns_data!M40</f>
        <v/>
      </c>
      <c r="T40" s="26">
        <f>Returns_data!N40</f>
        <v/>
      </c>
      <c r="U40" s="26">
        <f>Returns_data!P40</f>
        <v/>
      </c>
      <c r="V40" s="26">
        <f>Returns_data!S40</f>
        <v/>
      </c>
      <c r="W40" s="26">
        <f>Returns_data!T40</f>
        <v/>
      </c>
      <c r="X40" s="26">
        <f>Returns_data!U40</f>
        <v/>
      </c>
      <c r="Y40" s="26">
        <f>Returns_data!W40</f>
        <v/>
      </c>
      <c r="Z40" s="26">
        <f>Returns_data!X40</f>
        <v/>
      </c>
      <c r="AA40" s="26">
        <f>Returns_data!Y40</f>
        <v/>
      </c>
      <c r="AB40" s="26">
        <f>Returns_data!AA40</f>
        <v/>
      </c>
      <c r="AC40" s="26">
        <f>Returns_data!AB40</f>
        <v/>
      </c>
      <c r="AD40" s="26">
        <f>Returns_data!AD40</f>
        <v/>
      </c>
      <c r="AE40" s="26">
        <f>Returns_data!AE40</f>
        <v/>
      </c>
      <c r="AF40" s="26">
        <f>Returns_data!AF40</f>
        <v/>
      </c>
      <c r="AG40" s="26">
        <f>Returns_data!AG40</f>
        <v/>
      </c>
      <c r="AH40" s="26">
        <f>Returns_data!AH40</f>
        <v/>
      </c>
      <c r="AI40" s="26">
        <f>Returns_data!AI40</f>
        <v/>
      </c>
      <c r="AJ40" s="26">
        <f>Returns_data!AJ40</f>
        <v/>
      </c>
      <c r="AK40" s="26">
        <f>Returns_data!AK40</f>
        <v/>
      </c>
      <c r="AL40" s="26">
        <f>Returns_data!AL40</f>
        <v/>
      </c>
      <c r="AM40" s="26">
        <f>Returns_data!AM40</f>
        <v/>
      </c>
      <c r="AN40" s="26">
        <f>Returns_data!AN40</f>
        <v/>
      </c>
    </row>
    <row r="41">
      <c r="A41" s="24" t="inlineStr">
        <is>
          <t>2018-04-01</t>
        </is>
      </c>
      <c r="B41" s="26">
        <f>Returns_data!R41</f>
        <v/>
      </c>
      <c r="C41" s="26">
        <f>Returns_data!Z41</f>
        <v/>
      </c>
      <c r="D41" s="26">
        <f>Returns_data!C41</f>
        <v/>
      </c>
      <c r="E41" s="26">
        <f>Returns_data!D41</f>
        <v/>
      </c>
      <c r="F41" s="26">
        <f>Returns_data!AC41</f>
        <v/>
      </c>
      <c r="G41" s="26">
        <f>Returns_data!E41</f>
        <v/>
      </c>
      <c r="H41" s="26">
        <f>Returns_data!V41</f>
        <v/>
      </c>
      <c r="I41" s="26">
        <f>Returns_data!G41</f>
        <v/>
      </c>
      <c r="J41" s="26">
        <f>Returns_data!O41</f>
        <v/>
      </c>
      <c r="K41" s="26">
        <f>Returns_data!Q41</f>
        <v/>
      </c>
      <c r="L41" s="26">
        <f>Returns_data!H41</f>
        <v/>
      </c>
      <c r="M41" s="26">
        <f>Returns_data!K41</f>
        <v/>
      </c>
      <c r="N41" s="26">
        <f>Returns_data!B41</f>
        <v/>
      </c>
      <c r="O41" s="26">
        <f>Returns_data!F41</f>
        <v/>
      </c>
      <c r="P41" s="26">
        <f>Returns_data!I41</f>
        <v/>
      </c>
      <c r="Q41" s="26">
        <f>Returns_data!J41</f>
        <v/>
      </c>
      <c r="R41" s="26">
        <f>Returns_data!L41</f>
        <v/>
      </c>
      <c r="S41" s="26">
        <f>Returns_data!M41</f>
        <v/>
      </c>
      <c r="T41" s="26">
        <f>Returns_data!N41</f>
        <v/>
      </c>
      <c r="U41" s="26">
        <f>Returns_data!P41</f>
        <v/>
      </c>
      <c r="V41" s="26">
        <f>Returns_data!S41</f>
        <v/>
      </c>
      <c r="W41" s="26">
        <f>Returns_data!T41</f>
        <v/>
      </c>
      <c r="X41" s="26">
        <f>Returns_data!U41</f>
        <v/>
      </c>
      <c r="Y41" s="26">
        <f>Returns_data!W41</f>
        <v/>
      </c>
      <c r="Z41" s="26">
        <f>Returns_data!X41</f>
        <v/>
      </c>
      <c r="AA41" s="26">
        <f>Returns_data!Y41</f>
        <v/>
      </c>
      <c r="AB41" s="26">
        <f>Returns_data!AA41</f>
        <v/>
      </c>
      <c r="AC41" s="26">
        <f>Returns_data!AB41</f>
        <v/>
      </c>
      <c r="AD41" s="26">
        <f>Returns_data!AD41</f>
        <v/>
      </c>
      <c r="AE41" s="26">
        <f>Returns_data!AE41</f>
        <v/>
      </c>
      <c r="AF41" s="26">
        <f>Returns_data!AF41</f>
        <v/>
      </c>
      <c r="AG41" s="26">
        <f>Returns_data!AG41</f>
        <v/>
      </c>
      <c r="AH41" s="26">
        <f>Returns_data!AH41</f>
        <v/>
      </c>
      <c r="AI41" s="26">
        <f>Returns_data!AI41</f>
        <v/>
      </c>
      <c r="AJ41" s="26">
        <f>Returns_data!AJ41</f>
        <v/>
      </c>
      <c r="AK41" s="26">
        <f>Returns_data!AK41</f>
        <v/>
      </c>
      <c r="AL41" s="26">
        <f>Returns_data!AL41</f>
        <v/>
      </c>
      <c r="AM41" s="26">
        <f>Returns_data!AM41</f>
        <v/>
      </c>
      <c r="AN41" s="26">
        <f>Returns_data!AN41</f>
        <v/>
      </c>
    </row>
    <row r="42">
      <c r="A42" s="24" t="inlineStr">
        <is>
          <t>2018-05-01</t>
        </is>
      </c>
      <c r="B42" s="26">
        <f>Returns_data!R42</f>
        <v/>
      </c>
      <c r="C42" s="26">
        <f>Returns_data!Z42</f>
        <v/>
      </c>
      <c r="D42" s="26">
        <f>Returns_data!C42</f>
        <v/>
      </c>
      <c r="E42" s="26">
        <f>Returns_data!D42</f>
        <v/>
      </c>
      <c r="F42" s="26">
        <f>Returns_data!AC42</f>
        <v/>
      </c>
      <c r="G42" s="26">
        <f>Returns_data!E42</f>
        <v/>
      </c>
      <c r="H42" s="26">
        <f>Returns_data!V42</f>
        <v/>
      </c>
      <c r="I42" s="26">
        <f>Returns_data!G42</f>
        <v/>
      </c>
      <c r="J42" s="26">
        <f>Returns_data!O42</f>
        <v/>
      </c>
      <c r="K42" s="26">
        <f>Returns_data!Q42</f>
        <v/>
      </c>
      <c r="L42" s="26">
        <f>Returns_data!H42</f>
        <v/>
      </c>
      <c r="M42" s="26">
        <f>Returns_data!K42</f>
        <v/>
      </c>
      <c r="N42" s="26">
        <f>Returns_data!B42</f>
        <v/>
      </c>
      <c r="O42" s="26">
        <f>Returns_data!F42</f>
        <v/>
      </c>
      <c r="P42" s="26">
        <f>Returns_data!I42</f>
        <v/>
      </c>
      <c r="Q42" s="26">
        <f>Returns_data!J42</f>
        <v/>
      </c>
      <c r="R42" s="26">
        <f>Returns_data!L42</f>
        <v/>
      </c>
      <c r="S42" s="26">
        <f>Returns_data!M42</f>
        <v/>
      </c>
      <c r="T42" s="26">
        <f>Returns_data!N42</f>
        <v/>
      </c>
      <c r="U42" s="26">
        <f>Returns_data!P42</f>
        <v/>
      </c>
      <c r="V42" s="26">
        <f>Returns_data!S42</f>
        <v/>
      </c>
      <c r="W42" s="26">
        <f>Returns_data!T42</f>
        <v/>
      </c>
      <c r="X42" s="26">
        <f>Returns_data!U42</f>
        <v/>
      </c>
      <c r="Y42" s="26">
        <f>Returns_data!W42</f>
        <v/>
      </c>
      <c r="Z42" s="26">
        <f>Returns_data!X42</f>
        <v/>
      </c>
      <c r="AA42" s="26">
        <f>Returns_data!Y42</f>
        <v/>
      </c>
      <c r="AB42" s="26">
        <f>Returns_data!AA42</f>
        <v/>
      </c>
      <c r="AC42" s="26">
        <f>Returns_data!AB42</f>
        <v/>
      </c>
      <c r="AD42" s="26">
        <f>Returns_data!AD42</f>
        <v/>
      </c>
      <c r="AE42" s="26">
        <f>Returns_data!AE42</f>
        <v/>
      </c>
      <c r="AF42" s="26">
        <f>Returns_data!AF42</f>
        <v/>
      </c>
      <c r="AG42" s="26">
        <f>Returns_data!AG42</f>
        <v/>
      </c>
      <c r="AH42" s="26">
        <f>Returns_data!AH42</f>
        <v/>
      </c>
      <c r="AI42" s="26">
        <f>Returns_data!AI42</f>
        <v/>
      </c>
      <c r="AJ42" s="26">
        <f>Returns_data!AJ42</f>
        <v/>
      </c>
      <c r="AK42" s="26">
        <f>Returns_data!AK42</f>
        <v/>
      </c>
      <c r="AL42" s="26">
        <f>Returns_data!AL42</f>
        <v/>
      </c>
      <c r="AM42" s="26">
        <f>Returns_data!AM42</f>
        <v/>
      </c>
      <c r="AN42" s="26">
        <f>Returns_data!AN42</f>
        <v/>
      </c>
    </row>
    <row r="43">
      <c r="A43" s="24" t="inlineStr">
        <is>
          <t>2018-06-01</t>
        </is>
      </c>
      <c r="B43" s="26">
        <f>Returns_data!R43</f>
        <v/>
      </c>
      <c r="C43" s="26">
        <f>Returns_data!Z43</f>
        <v/>
      </c>
      <c r="D43" s="26">
        <f>Returns_data!C43</f>
        <v/>
      </c>
      <c r="E43" s="26">
        <f>Returns_data!D43</f>
        <v/>
      </c>
      <c r="F43" s="26">
        <f>Returns_data!AC43</f>
        <v/>
      </c>
      <c r="G43" s="26">
        <f>Returns_data!E43</f>
        <v/>
      </c>
      <c r="H43" s="26">
        <f>Returns_data!V43</f>
        <v/>
      </c>
      <c r="I43" s="26">
        <f>Returns_data!G43</f>
        <v/>
      </c>
      <c r="J43" s="26">
        <f>Returns_data!O43</f>
        <v/>
      </c>
      <c r="K43" s="26">
        <f>Returns_data!Q43</f>
        <v/>
      </c>
      <c r="L43" s="26">
        <f>Returns_data!H43</f>
        <v/>
      </c>
      <c r="M43" s="26">
        <f>Returns_data!K43</f>
        <v/>
      </c>
      <c r="N43" s="26">
        <f>Returns_data!B43</f>
        <v/>
      </c>
      <c r="O43" s="26">
        <f>Returns_data!F43</f>
        <v/>
      </c>
      <c r="P43" s="26">
        <f>Returns_data!I43</f>
        <v/>
      </c>
      <c r="Q43" s="26">
        <f>Returns_data!J43</f>
        <v/>
      </c>
      <c r="R43" s="26">
        <f>Returns_data!L43</f>
        <v/>
      </c>
      <c r="S43" s="26">
        <f>Returns_data!M43</f>
        <v/>
      </c>
      <c r="T43" s="26">
        <f>Returns_data!N43</f>
        <v/>
      </c>
      <c r="U43" s="26">
        <f>Returns_data!P43</f>
        <v/>
      </c>
      <c r="V43" s="26">
        <f>Returns_data!S43</f>
        <v/>
      </c>
      <c r="W43" s="26">
        <f>Returns_data!T43</f>
        <v/>
      </c>
      <c r="X43" s="26">
        <f>Returns_data!U43</f>
        <v/>
      </c>
      <c r="Y43" s="26">
        <f>Returns_data!W43</f>
        <v/>
      </c>
      <c r="Z43" s="26">
        <f>Returns_data!X43</f>
        <v/>
      </c>
      <c r="AA43" s="26">
        <f>Returns_data!Y43</f>
        <v/>
      </c>
      <c r="AB43" s="26">
        <f>Returns_data!AA43</f>
        <v/>
      </c>
      <c r="AC43" s="26">
        <f>Returns_data!AB43</f>
        <v/>
      </c>
      <c r="AD43" s="26">
        <f>Returns_data!AD43</f>
        <v/>
      </c>
      <c r="AE43" s="26">
        <f>Returns_data!AE43</f>
        <v/>
      </c>
      <c r="AF43" s="26">
        <f>Returns_data!AF43</f>
        <v/>
      </c>
      <c r="AG43" s="26">
        <f>Returns_data!AG43</f>
        <v/>
      </c>
      <c r="AH43" s="26">
        <f>Returns_data!AH43</f>
        <v/>
      </c>
      <c r="AI43" s="26">
        <f>Returns_data!AI43</f>
        <v/>
      </c>
      <c r="AJ43" s="26">
        <f>Returns_data!AJ43</f>
        <v/>
      </c>
      <c r="AK43" s="26">
        <f>Returns_data!AK43</f>
        <v/>
      </c>
      <c r="AL43" s="26">
        <f>Returns_data!AL43</f>
        <v/>
      </c>
      <c r="AM43" s="26">
        <f>Returns_data!AM43</f>
        <v/>
      </c>
      <c r="AN43" s="26">
        <f>Returns_data!AN43</f>
        <v/>
      </c>
    </row>
    <row r="44">
      <c r="A44" s="24" t="inlineStr">
        <is>
          <t>2018-07-01</t>
        </is>
      </c>
      <c r="B44" s="26">
        <f>Returns_data!R44</f>
        <v/>
      </c>
      <c r="C44" s="26">
        <f>Returns_data!Z44</f>
        <v/>
      </c>
      <c r="D44" s="26">
        <f>Returns_data!C44</f>
        <v/>
      </c>
      <c r="E44" s="26">
        <f>Returns_data!D44</f>
        <v/>
      </c>
      <c r="F44" s="26">
        <f>Returns_data!AC44</f>
        <v/>
      </c>
      <c r="G44" s="26">
        <f>Returns_data!E44</f>
        <v/>
      </c>
      <c r="H44" s="26">
        <f>Returns_data!V44</f>
        <v/>
      </c>
      <c r="I44" s="26">
        <f>Returns_data!G44</f>
        <v/>
      </c>
      <c r="J44" s="26">
        <f>Returns_data!O44</f>
        <v/>
      </c>
      <c r="K44" s="26">
        <f>Returns_data!Q44</f>
        <v/>
      </c>
      <c r="L44" s="26">
        <f>Returns_data!H44</f>
        <v/>
      </c>
      <c r="M44" s="26">
        <f>Returns_data!K44</f>
        <v/>
      </c>
      <c r="N44" s="26">
        <f>Returns_data!B44</f>
        <v/>
      </c>
      <c r="O44" s="26">
        <f>Returns_data!F44</f>
        <v/>
      </c>
      <c r="P44" s="26">
        <f>Returns_data!I44</f>
        <v/>
      </c>
      <c r="Q44" s="26">
        <f>Returns_data!J44</f>
        <v/>
      </c>
      <c r="R44" s="26">
        <f>Returns_data!L44</f>
        <v/>
      </c>
      <c r="S44" s="26">
        <f>Returns_data!M44</f>
        <v/>
      </c>
      <c r="T44" s="26">
        <f>Returns_data!N44</f>
        <v/>
      </c>
      <c r="U44" s="26">
        <f>Returns_data!P44</f>
        <v/>
      </c>
      <c r="V44" s="26">
        <f>Returns_data!S44</f>
        <v/>
      </c>
      <c r="W44" s="26">
        <f>Returns_data!T44</f>
        <v/>
      </c>
      <c r="X44" s="26">
        <f>Returns_data!U44</f>
        <v/>
      </c>
      <c r="Y44" s="26">
        <f>Returns_data!W44</f>
        <v/>
      </c>
      <c r="Z44" s="26">
        <f>Returns_data!X44</f>
        <v/>
      </c>
      <c r="AA44" s="26">
        <f>Returns_data!Y44</f>
        <v/>
      </c>
      <c r="AB44" s="26">
        <f>Returns_data!AA44</f>
        <v/>
      </c>
      <c r="AC44" s="26">
        <f>Returns_data!AB44</f>
        <v/>
      </c>
      <c r="AD44" s="26">
        <f>Returns_data!AD44</f>
        <v/>
      </c>
      <c r="AE44" s="26">
        <f>Returns_data!AE44</f>
        <v/>
      </c>
      <c r="AF44" s="26">
        <f>Returns_data!AF44</f>
        <v/>
      </c>
      <c r="AG44" s="26">
        <f>Returns_data!AG44</f>
        <v/>
      </c>
      <c r="AH44" s="26">
        <f>Returns_data!AH44</f>
        <v/>
      </c>
      <c r="AI44" s="26">
        <f>Returns_data!AI44</f>
        <v/>
      </c>
      <c r="AJ44" s="26">
        <f>Returns_data!AJ44</f>
        <v/>
      </c>
      <c r="AK44" s="26">
        <f>Returns_data!AK44</f>
        <v/>
      </c>
      <c r="AL44" s="26">
        <f>Returns_data!AL44</f>
        <v/>
      </c>
      <c r="AM44" s="26">
        <f>Returns_data!AM44</f>
        <v/>
      </c>
      <c r="AN44" s="26">
        <f>Returns_data!AN44</f>
        <v/>
      </c>
    </row>
    <row r="45">
      <c r="A45" s="24" t="inlineStr">
        <is>
          <t>2018-08-01</t>
        </is>
      </c>
      <c r="B45" s="26">
        <f>Returns_data!R45</f>
        <v/>
      </c>
      <c r="C45" s="26">
        <f>Returns_data!Z45</f>
        <v/>
      </c>
      <c r="D45" s="26">
        <f>Returns_data!C45</f>
        <v/>
      </c>
      <c r="E45" s="26">
        <f>Returns_data!D45</f>
        <v/>
      </c>
      <c r="F45" s="26">
        <f>Returns_data!AC45</f>
        <v/>
      </c>
      <c r="G45" s="26">
        <f>Returns_data!E45</f>
        <v/>
      </c>
      <c r="H45" s="26">
        <f>Returns_data!V45</f>
        <v/>
      </c>
      <c r="I45" s="26">
        <f>Returns_data!G45</f>
        <v/>
      </c>
      <c r="J45" s="26">
        <f>Returns_data!O45</f>
        <v/>
      </c>
      <c r="K45" s="26">
        <f>Returns_data!Q45</f>
        <v/>
      </c>
      <c r="L45" s="26">
        <f>Returns_data!H45</f>
        <v/>
      </c>
      <c r="M45" s="26">
        <f>Returns_data!K45</f>
        <v/>
      </c>
      <c r="N45" s="26">
        <f>Returns_data!B45</f>
        <v/>
      </c>
      <c r="O45" s="26">
        <f>Returns_data!F45</f>
        <v/>
      </c>
      <c r="P45" s="26">
        <f>Returns_data!I45</f>
        <v/>
      </c>
      <c r="Q45" s="26">
        <f>Returns_data!J45</f>
        <v/>
      </c>
      <c r="R45" s="26">
        <f>Returns_data!L45</f>
        <v/>
      </c>
      <c r="S45" s="26">
        <f>Returns_data!M45</f>
        <v/>
      </c>
      <c r="T45" s="26">
        <f>Returns_data!N45</f>
        <v/>
      </c>
      <c r="U45" s="26">
        <f>Returns_data!P45</f>
        <v/>
      </c>
      <c r="V45" s="26">
        <f>Returns_data!S45</f>
        <v/>
      </c>
      <c r="W45" s="26">
        <f>Returns_data!T45</f>
        <v/>
      </c>
      <c r="X45" s="26">
        <f>Returns_data!U45</f>
        <v/>
      </c>
      <c r="Y45" s="26">
        <f>Returns_data!W45</f>
        <v/>
      </c>
      <c r="Z45" s="26">
        <f>Returns_data!X45</f>
        <v/>
      </c>
      <c r="AA45" s="26">
        <f>Returns_data!Y45</f>
        <v/>
      </c>
      <c r="AB45" s="26">
        <f>Returns_data!AA45</f>
        <v/>
      </c>
      <c r="AC45" s="26">
        <f>Returns_data!AB45</f>
        <v/>
      </c>
      <c r="AD45" s="26">
        <f>Returns_data!AD45</f>
        <v/>
      </c>
      <c r="AE45" s="26">
        <f>Returns_data!AE45</f>
        <v/>
      </c>
      <c r="AF45" s="26">
        <f>Returns_data!AF45</f>
        <v/>
      </c>
      <c r="AG45" s="26">
        <f>Returns_data!AG45</f>
        <v/>
      </c>
      <c r="AH45" s="26">
        <f>Returns_data!AH45</f>
        <v/>
      </c>
      <c r="AI45" s="26">
        <f>Returns_data!AI45</f>
        <v/>
      </c>
      <c r="AJ45" s="26">
        <f>Returns_data!AJ45</f>
        <v/>
      </c>
      <c r="AK45" s="26">
        <f>Returns_data!AK45</f>
        <v/>
      </c>
      <c r="AL45" s="26">
        <f>Returns_data!AL45</f>
        <v/>
      </c>
      <c r="AM45" s="26">
        <f>Returns_data!AM45</f>
        <v/>
      </c>
      <c r="AN45" s="26">
        <f>Returns_data!AN45</f>
        <v/>
      </c>
    </row>
    <row r="46">
      <c r="A46" s="24" t="inlineStr">
        <is>
          <t>2018-09-01</t>
        </is>
      </c>
      <c r="B46" s="26">
        <f>Returns_data!R46</f>
        <v/>
      </c>
      <c r="C46" s="26">
        <f>Returns_data!Z46</f>
        <v/>
      </c>
      <c r="D46" s="26">
        <f>Returns_data!C46</f>
        <v/>
      </c>
      <c r="E46" s="26">
        <f>Returns_data!D46</f>
        <v/>
      </c>
      <c r="F46" s="26">
        <f>Returns_data!AC46</f>
        <v/>
      </c>
      <c r="G46" s="26">
        <f>Returns_data!E46</f>
        <v/>
      </c>
      <c r="H46" s="26">
        <f>Returns_data!V46</f>
        <v/>
      </c>
      <c r="I46" s="26">
        <f>Returns_data!G46</f>
        <v/>
      </c>
      <c r="J46" s="26">
        <f>Returns_data!O46</f>
        <v/>
      </c>
      <c r="K46" s="26">
        <f>Returns_data!Q46</f>
        <v/>
      </c>
      <c r="L46" s="26">
        <f>Returns_data!H46</f>
        <v/>
      </c>
      <c r="M46" s="26">
        <f>Returns_data!K46</f>
        <v/>
      </c>
      <c r="N46" s="26">
        <f>Returns_data!B46</f>
        <v/>
      </c>
      <c r="O46" s="26">
        <f>Returns_data!F46</f>
        <v/>
      </c>
      <c r="P46" s="26">
        <f>Returns_data!I46</f>
        <v/>
      </c>
      <c r="Q46" s="26">
        <f>Returns_data!J46</f>
        <v/>
      </c>
      <c r="R46" s="26">
        <f>Returns_data!L46</f>
        <v/>
      </c>
      <c r="S46" s="26">
        <f>Returns_data!M46</f>
        <v/>
      </c>
      <c r="T46" s="26">
        <f>Returns_data!N46</f>
        <v/>
      </c>
      <c r="U46" s="26">
        <f>Returns_data!P46</f>
        <v/>
      </c>
      <c r="V46" s="26">
        <f>Returns_data!S46</f>
        <v/>
      </c>
      <c r="W46" s="26">
        <f>Returns_data!T46</f>
        <v/>
      </c>
      <c r="X46" s="26">
        <f>Returns_data!U46</f>
        <v/>
      </c>
      <c r="Y46" s="26">
        <f>Returns_data!W46</f>
        <v/>
      </c>
      <c r="Z46" s="26">
        <f>Returns_data!X46</f>
        <v/>
      </c>
      <c r="AA46" s="26">
        <f>Returns_data!Y46</f>
        <v/>
      </c>
      <c r="AB46" s="26">
        <f>Returns_data!AA46</f>
        <v/>
      </c>
      <c r="AC46" s="26">
        <f>Returns_data!AB46</f>
        <v/>
      </c>
      <c r="AD46" s="26">
        <f>Returns_data!AD46</f>
        <v/>
      </c>
      <c r="AE46" s="26">
        <f>Returns_data!AE46</f>
        <v/>
      </c>
      <c r="AF46" s="26">
        <f>Returns_data!AF46</f>
        <v/>
      </c>
      <c r="AG46" s="26">
        <f>Returns_data!AG46</f>
        <v/>
      </c>
      <c r="AH46" s="26">
        <f>Returns_data!AH46</f>
        <v/>
      </c>
      <c r="AI46" s="26">
        <f>Returns_data!AI46</f>
        <v/>
      </c>
      <c r="AJ46" s="26">
        <f>Returns_data!AJ46</f>
        <v/>
      </c>
      <c r="AK46" s="26">
        <f>Returns_data!AK46</f>
        <v/>
      </c>
      <c r="AL46" s="26">
        <f>Returns_data!AL46</f>
        <v/>
      </c>
      <c r="AM46" s="26">
        <f>Returns_data!AM46</f>
        <v/>
      </c>
      <c r="AN46" s="26">
        <f>Returns_data!AN46</f>
        <v/>
      </c>
    </row>
    <row r="47">
      <c r="A47" s="24" t="inlineStr">
        <is>
          <t>2018-10-01</t>
        </is>
      </c>
      <c r="B47" s="26">
        <f>Returns_data!R47</f>
        <v/>
      </c>
      <c r="C47" s="26">
        <f>Returns_data!Z47</f>
        <v/>
      </c>
      <c r="D47" s="26">
        <f>Returns_data!C47</f>
        <v/>
      </c>
      <c r="E47" s="26">
        <f>Returns_data!D47</f>
        <v/>
      </c>
      <c r="F47" s="26">
        <f>Returns_data!AC47</f>
        <v/>
      </c>
      <c r="G47" s="26">
        <f>Returns_data!E47</f>
        <v/>
      </c>
      <c r="H47" s="26">
        <f>Returns_data!V47</f>
        <v/>
      </c>
      <c r="I47" s="26">
        <f>Returns_data!G47</f>
        <v/>
      </c>
      <c r="J47" s="26">
        <f>Returns_data!O47</f>
        <v/>
      </c>
      <c r="K47" s="26">
        <f>Returns_data!Q47</f>
        <v/>
      </c>
      <c r="L47" s="26">
        <f>Returns_data!H47</f>
        <v/>
      </c>
      <c r="M47" s="26">
        <f>Returns_data!K47</f>
        <v/>
      </c>
      <c r="N47" s="26">
        <f>Returns_data!B47</f>
        <v/>
      </c>
      <c r="O47" s="26">
        <f>Returns_data!F47</f>
        <v/>
      </c>
      <c r="P47" s="26">
        <f>Returns_data!I47</f>
        <v/>
      </c>
      <c r="Q47" s="26">
        <f>Returns_data!J47</f>
        <v/>
      </c>
      <c r="R47" s="26">
        <f>Returns_data!L47</f>
        <v/>
      </c>
      <c r="S47" s="26">
        <f>Returns_data!M47</f>
        <v/>
      </c>
      <c r="T47" s="26">
        <f>Returns_data!N47</f>
        <v/>
      </c>
      <c r="U47" s="26">
        <f>Returns_data!P47</f>
        <v/>
      </c>
      <c r="V47" s="26">
        <f>Returns_data!S47</f>
        <v/>
      </c>
      <c r="W47" s="26">
        <f>Returns_data!T47</f>
        <v/>
      </c>
      <c r="X47" s="26">
        <f>Returns_data!U47</f>
        <v/>
      </c>
      <c r="Y47" s="26">
        <f>Returns_data!W47</f>
        <v/>
      </c>
      <c r="Z47" s="26">
        <f>Returns_data!X47</f>
        <v/>
      </c>
      <c r="AA47" s="26">
        <f>Returns_data!Y47</f>
        <v/>
      </c>
      <c r="AB47" s="26">
        <f>Returns_data!AA47</f>
        <v/>
      </c>
      <c r="AC47" s="26">
        <f>Returns_data!AB47</f>
        <v/>
      </c>
      <c r="AD47" s="26">
        <f>Returns_data!AD47</f>
        <v/>
      </c>
      <c r="AE47" s="26">
        <f>Returns_data!AE47</f>
        <v/>
      </c>
      <c r="AF47" s="26">
        <f>Returns_data!AF47</f>
        <v/>
      </c>
      <c r="AG47" s="26">
        <f>Returns_data!AG47</f>
        <v/>
      </c>
      <c r="AH47" s="26">
        <f>Returns_data!AH47</f>
        <v/>
      </c>
      <c r="AI47" s="26">
        <f>Returns_data!AI47</f>
        <v/>
      </c>
      <c r="AJ47" s="26">
        <f>Returns_data!AJ47</f>
        <v/>
      </c>
      <c r="AK47" s="26">
        <f>Returns_data!AK47</f>
        <v/>
      </c>
      <c r="AL47" s="26">
        <f>Returns_data!AL47</f>
        <v/>
      </c>
      <c r="AM47" s="26">
        <f>Returns_data!AM47</f>
        <v/>
      </c>
      <c r="AN47" s="26">
        <f>Returns_data!AN47</f>
        <v/>
      </c>
    </row>
    <row r="48">
      <c r="A48" s="24" t="inlineStr">
        <is>
          <t>2018-11-01</t>
        </is>
      </c>
      <c r="B48" s="26">
        <f>Returns_data!R48</f>
        <v/>
      </c>
      <c r="C48" s="26">
        <f>Returns_data!Z48</f>
        <v/>
      </c>
      <c r="D48" s="26">
        <f>Returns_data!C48</f>
        <v/>
      </c>
      <c r="E48" s="26">
        <f>Returns_data!D48</f>
        <v/>
      </c>
      <c r="F48" s="26">
        <f>Returns_data!AC48</f>
        <v/>
      </c>
      <c r="G48" s="26">
        <f>Returns_data!E48</f>
        <v/>
      </c>
      <c r="H48" s="26">
        <f>Returns_data!V48</f>
        <v/>
      </c>
      <c r="I48" s="26">
        <f>Returns_data!G48</f>
        <v/>
      </c>
      <c r="J48" s="26">
        <f>Returns_data!O48</f>
        <v/>
      </c>
      <c r="K48" s="26">
        <f>Returns_data!Q48</f>
        <v/>
      </c>
      <c r="L48" s="26">
        <f>Returns_data!H48</f>
        <v/>
      </c>
      <c r="M48" s="26">
        <f>Returns_data!K48</f>
        <v/>
      </c>
      <c r="N48" s="26">
        <f>Returns_data!B48</f>
        <v/>
      </c>
      <c r="O48" s="26">
        <f>Returns_data!F48</f>
        <v/>
      </c>
      <c r="P48" s="26">
        <f>Returns_data!I48</f>
        <v/>
      </c>
      <c r="Q48" s="26">
        <f>Returns_data!J48</f>
        <v/>
      </c>
      <c r="R48" s="26">
        <f>Returns_data!L48</f>
        <v/>
      </c>
      <c r="S48" s="26">
        <f>Returns_data!M48</f>
        <v/>
      </c>
      <c r="T48" s="26">
        <f>Returns_data!N48</f>
        <v/>
      </c>
      <c r="U48" s="26">
        <f>Returns_data!P48</f>
        <v/>
      </c>
      <c r="V48" s="26">
        <f>Returns_data!S48</f>
        <v/>
      </c>
      <c r="W48" s="26">
        <f>Returns_data!T48</f>
        <v/>
      </c>
      <c r="X48" s="26">
        <f>Returns_data!U48</f>
        <v/>
      </c>
      <c r="Y48" s="26">
        <f>Returns_data!W48</f>
        <v/>
      </c>
      <c r="Z48" s="26">
        <f>Returns_data!X48</f>
        <v/>
      </c>
      <c r="AA48" s="26">
        <f>Returns_data!Y48</f>
        <v/>
      </c>
      <c r="AB48" s="26">
        <f>Returns_data!AA48</f>
        <v/>
      </c>
      <c r="AC48" s="26">
        <f>Returns_data!AB48</f>
        <v/>
      </c>
      <c r="AD48" s="26">
        <f>Returns_data!AD48</f>
        <v/>
      </c>
      <c r="AE48" s="26">
        <f>Returns_data!AE48</f>
        <v/>
      </c>
      <c r="AF48" s="26">
        <f>Returns_data!AF48</f>
        <v/>
      </c>
      <c r="AG48" s="26">
        <f>Returns_data!AG48</f>
        <v/>
      </c>
      <c r="AH48" s="26">
        <f>Returns_data!AH48</f>
        <v/>
      </c>
      <c r="AI48" s="26">
        <f>Returns_data!AI48</f>
        <v/>
      </c>
      <c r="AJ48" s="26">
        <f>Returns_data!AJ48</f>
        <v/>
      </c>
      <c r="AK48" s="26">
        <f>Returns_data!AK48</f>
        <v/>
      </c>
      <c r="AL48" s="26">
        <f>Returns_data!AL48</f>
        <v/>
      </c>
      <c r="AM48" s="26">
        <f>Returns_data!AM48</f>
        <v/>
      </c>
      <c r="AN48" s="26">
        <f>Returns_data!AN48</f>
        <v/>
      </c>
    </row>
    <row r="49">
      <c r="A49" s="24" t="inlineStr">
        <is>
          <t>2018-12-01</t>
        </is>
      </c>
      <c r="B49" s="26">
        <f>Returns_data!R49</f>
        <v/>
      </c>
      <c r="C49" s="26">
        <f>Returns_data!Z49</f>
        <v/>
      </c>
      <c r="D49" s="26">
        <f>Returns_data!C49</f>
        <v/>
      </c>
      <c r="E49" s="26">
        <f>Returns_data!D49</f>
        <v/>
      </c>
      <c r="F49" s="26">
        <f>Returns_data!AC49</f>
        <v/>
      </c>
      <c r="G49" s="26">
        <f>Returns_data!E49</f>
        <v/>
      </c>
      <c r="H49" s="26">
        <f>Returns_data!V49</f>
        <v/>
      </c>
      <c r="I49" s="26">
        <f>Returns_data!G49</f>
        <v/>
      </c>
      <c r="J49" s="26">
        <f>Returns_data!O49</f>
        <v/>
      </c>
      <c r="K49" s="26">
        <f>Returns_data!Q49</f>
        <v/>
      </c>
      <c r="L49" s="26">
        <f>Returns_data!H49</f>
        <v/>
      </c>
      <c r="M49" s="26">
        <f>Returns_data!K49</f>
        <v/>
      </c>
      <c r="N49" s="26">
        <f>Returns_data!B49</f>
        <v/>
      </c>
      <c r="O49" s="26">
        <f>Returns_data!F49</f>
        <v/>
      </c>
      <c r="P49" s="26">
        <f>Returns_data!I49</f>
        <v/>
      </c>
      <c r="Q49" s="26">
        <f>Returns_data!J49</f>
        <v/>
      </c>
      <c r="R49" s="26">
        <f>Returns_data!L49</f>
        <v/>
      </c>
      <c r="S49" s="26">
        <f>Returns_data!M49</f>
        <v/>
      </c>
      <c r="T49" s="26">
        <f>Returns_data!N49</f>
        <v/>
      </c>
      <c r="U49" s="26">
        <f>Returns_data!P49</f>
        <v/>
      </c>
      <c r="V49" s="26">
        <f>Returns_data!S49</f>
        <v/>
      </c>
      <c r="W49" s="26">
        <f>Returns_data!T49</f>
        <v/>
      </c>
      <c r="X49" s="26">
        <f>Returns_data!U49</f>
        <v/>
      </c>
      <c r="Y49" s="26">
        <f>Returns_data!W49</f>
        <v/>
      </c>
      <c r="Z49" s="26">
        <f>Returns_data!X49</f>
        <v/>
      </c>
      <c r="AA49" s="26">
        <f>Returns_data!Y49</f>
        <v/>
      </c>
      <c r="AB49" s="26">
        <f>Returns_data!AA49</f>
        <v/>
      </c>
      <c r="AC49" s="26">
        <f>Returns_data!AB49</f>
        <v/>
      </c>
      <c r="AD49" s="26">
        <f>Returns_data!AD49</f>
        <v/>
      </c>
      <c r="AE49" s="26">
        <f>Returns_data!AE49</f>
        <v/>
      </c>
      <c r="AF49" s="26">
        <f>Returns_data!AF49</f>
        <v/>
      </c>
      <c r="AG49" s="26">
        <f>Returns_data!AG49</f>
        <v/>
      </c>
      <c r="AH49" s="26">
        <f>Returns_data!AH49</f>
        <v/>
      </c>
      <c r="AI49" s="26">
        <f>Returns_data!AI49</f>
        <v/>
      </c>
      <c r="AJ49" s="26">
        <f>Returns_data!AJ49</f>
        <v/>
      </c>
      <c r="AK49" s="26">
        <f>Returns_data!AK49</f>
        <v/>
      </c>
      <c r="AL49" s="26">
        <f>Returns_data!AL49</f>
        <v/>
      </c>
      <c r="AM49" s="26">
        <f>Returns_data!AM49</f>
        <v/>
      </c>
      <c r="AN49" s="26">
        <f>Returns_data!AN49</f>
        <v/>
      </c>
    </row>
    <row r="50">
      <c r="A50" s="24" t="inlineStr">
        <is>
          <t>2019-01-01</t>
        </is>
      </c>
      <c r="B50" s="26">
        <f>Returns_data!R50</f>
        <v/>
      </c>
      <c r="C50" s="26">
        <f>Returns_data!Z50</f>
        <v/>
      </c>
      <c r="D50" s="26">
        <f>Returns_data!C50</f>
        <v/>
      </c>
      <c r="E50" s="26">
        <f>Returns_data!D50</f>
        <v/>
      </c>
      <c r="F50" s="26">
        <f>Returns_data!AC50</f>
        <v/>
      </c>
      <c r="G50" s="26">
        <f>Returns_data!E50</f>
        <v/>
      </c>
      <c r="H50" s="26">
        <f>Returns_data!V50</f>
        <v/>
      </c>
      <c r="I50" s="26">
        <f>Returns_data!G50</f>
        <v/>
      </c>
      <c r="J50" s="26">
        <f>Returns_data!O50</f>
        <v/>
      </c>
      <c r="K50" s="26">
        <f>Returns_data!Q50</f>
        <v/>
      </c>
      <c r="L50" s="26">
        <f>Returns_data!H50</f>
        <v/>
      </c>
      <c r="M50" s="26">
        <f>Returns_data!K50</f>
        <v/>
      </c>
      <c r="N50" s="26">
        <f>Returns_data!B50</f>
        <v/>
      </c>
      <c r="O50" s="26">
        <f>Returns_data!F50</f>
        <v/>
      </c>
      <c r="P50" s="26">
        <f>Returns_data!I50</f>
        <v/>
      </c>
      <c r="Q50" s="26">
        <f>Returns_data!J50</f>
        <v/>
      </c>
      <c r="R50" s="26">
        <f>Returns_data!L50</f>
        <v/>
      </c>
      <c r="S50" s="26">
        <f>Returns_data!M50</f>
        <v/>
      </c>
      <c r="T50" s="26">
        <f>Returns_data!N50</f>
        <v/>
      </c>
      <c r="U50" s="26">
        <f>Returns_data!P50</f>
        <v/>
      </c>
      <c r="V50" s="26">
        <f>Returns_data!S50</f>
        <v/>
      </c>
      <c r="W50" s="26">
        <f>Returns_data!T50</f>
        <v/>
      </c>
      <c r="X50" s="26">
        <f>Returns_data!U50</f>
        <v/>
      </c>
      <c r="Y50" s="26">
        <f>Returns_data!W50</f>
        <v/>
      </c>
      <c r="Z50" s="26">
        <f>Returns_data!X50</f>
        <v/>
      </c>
      <c r="AA50" s="26">
        <f>Returns_data!Y50</f>
        <v/>
      </c>
      <c r="AB50" s="26">
        <f>Returns_data!AA50</f>
        <v/>
      </c>
      <c r="AC50" s="26">
        <f>Returns_data!AB50</f>
        <v/>
      </c>
      <c r="AD50" s="26">
        <f>Returns_data!AD50</f>
        <v/>
      </c>
      <c r="AE50" s="26">
        <f>Returns_data!AE50</f>
        <v/>
      </c>
      <c r="AF50" s="26">
        <f>Returns_data!AF50</f>
        <v/>
      </c>
      <c r="AG50" s="26">
        <f>Returns_data!AG50</f>
        <v/>
      </c>
      <c r="AH50" s="26">
        <f>Returns_data!AH50</f>
        <v/>
      </c>
      <c r="AI50" s="26">
        <f>Returns_data!AI50</f>
        <v/>
      </c>
      <c r="AJ50" s="26">
        <f>Returns_data!AJ50</f>
        <v/>
      </c>
      <c r="AK50" s="26">
        <f>Returns_data!AK50</f>
        <v/>
      </c>
      <c r="AL50" s="26">
        <f>Returns_data!AL50</f>
        <v/>
      </c>
      <c r="AM50" s="26">
        <f>Returns_data!AM50</f>
        <v/>
      </c>
      <c r="AN50" s="26">
        <f>Returns_data!AN50</f>
        <v/>
      </c>
    </row>
    <row r="51">
      <c r="A51" s="24" t="inlineStr">
        <is>
          <t>2019-02-01</t>
        </is>
      </c>
      <c r="B51" s="26">
        <f>Returns_data!R51</f>
        <v/>
      </c>
      <c r="C51" s="26">
        <f>Returns_data!Z51</f>
        <v/>
      </c>
      <c r="D51" s="26">
        <f>Returns_data!C51</f>
        <v/>
      </c>
      <c r="E51" s="26">
        <f>Returns_data!D51</f>
        <v/>
      </c>
      <c r="F51" s="26">
        <f>Returns_data!AC51</f>
        <v/>
      </c>
      <c r="G51" s="26">
        <f>Returns_data!E51</f>
        <v/>
      </c>
      <c r="H51" s="26">
        <f>Returns_data!V51</f>
        <v/>
      </c>
      <c r="I51" s="26">
        <f>Returns_data!G51</f>
        <v/>
      </c>
      <c r="J51" s="26">
        <f>Returns_data!O51</f>
        <v/>
      </c>
      <c r="K51" s="26">
        <f>Returns_data!Q51</f>
        <v/>
      </c>
      <c r="L51" s="26">
        <f>Returns_data!H51</f>
        <v/>
      </c>
      <c r="M51" s="26">
        <f>Returns_data!K51</f>
        <v/>
      </c>
      <c r="N51" s="26">
        <f>Returns_data!B51</f>
        <v/>
      </c>
      <c r="O51" s="26">
        <f>Returns_data!F51</f>
        <v/>
      </c>
      <c r="P51" s="26">
        <f>Returns_data!I51</f>
        <v/>
      </c>
      <c r="Q51" s="26">
        <f>Returns_data!J51</f>
        <v/>
      </c>
      <c r="R51" s="26">
        <f>Returns_data!L51</f>
        <v/>
      </c>
      <c r="S51" s="26">
        <f>Returns_data!M51</f>
        <v/>
      </c>
      <c r="T51" s="26">
        <f>Returns_data!N51</f>
        <v/>
      </c>
      <c r="U51" s="26">
        <f>Returns_data!P51</f>
        <v/>
      </c>
      <c r="V51" s="26">
        <f>Returns_data!S51</f>
        <v/>
      </c>
      <c r="W51" s="26">
        <f>Returns_data!T51</f>
        <v/>
      </c>
      <c r="X51" s="26">
        <f>Returns_data!U51</f>
        <v/>
      </c>
      <c r="Y51" s="26">
        <f>Returns_data!W51</f>
        <v/>
      </c>
      <c r="Z51" s="26">
        <f>Returns_data!X51</f>
        <v/>
      </c>
      <c r="AA51" s="26">
        <f>Returns_data!Y51</f>
        <v/>
      </c>
      <c r="AB51" s="26">
        <f>Returns_data!AA51</f>
        <v/>
      </c>
      <c r="AC51" s="26">
        <f>Returns_data!AB51</f>
        <v/>
      </c>
      <c r="AD51" s="26">
        <f>Returns_data!AD51</f>
        <v/>
      </c>
      <c r="AE51" s="26">
        <f>Returns_data!AE51</f>
        <v/>
      </c>
      <c r="AF51" s="26">
        <f>Returns_data!AF51</f>
        <v/>
      </c>
      <c r="AG51" s="26">
        <f>Returns_data!AG51</f>
        <v/>
      </c>
      <c r="AH51" s="26">
        <f>Returns_data!AH51</f>
        <v/>
      </c>
      <c r="AI51" s="26">
        <f>Returns_data!AI51</f>
        <v/>
      </c>
      <c r="AJ51" s="26">
        <f>Returns_data!AJ51</f>
        <v/>
      </c>
      <c r="AK51" s="26">
        <f>Returns_data!AK51</f>
        <v/>
      </c>
      <c r="AL51" s="26">
        <f>Returns_data!AL51</f>
        <v/>
      </c>
      <c r="AM51" s="26">
        <f>Returns_data!AM51</f>
        <v/>
      </c>
      <c r="AN51" s="26">
        <f>Returns_data!AN51</f>
        <v/>
      </c>
    </row>
    <row r="52">
      <c r="A52" s="24" t="inlineStr">
        <is>
          <t>2019-03-01</t>
        </is>
      </c>
      <c r="B52" s="26">
        <f>Returns_data!R52</f>
        <v/>
      </c>
      <c r="C52" s="26">
        <f>Returns_data!Z52</f>
        <v/>
      </c>
      <c r="D52" s="26">
        <f>Returns_data!C52</f>
        <v/>
      </c>
      <c r="E52" s="26">
        <f>Returns_data!D52</f>
        <v/>
      </c>
      <c r="F52" s="26">
        <f>Returns_data!AC52</f>
        <v/>
      </c>
      <c r="G52" s="26">
        <f>Returns_data!E52</f>
        <v/>
      </c>
      <c r="H52" s="26">
        <f>Returns_data!V52</f>
        <v/>
      </c>
      <c r="I52" s="26">
        <f>Returns_data!G52</f>
        <v/>
      </c>
      <c r="J52" s="26">
        <f>Returns_data!O52</f>
        <v/>
      </c>
      <c r="K52" s="26">
        <f>Returns_data!Q52</f>
        <v/>
      </c>
      <c r="L52" s="26">
        <f>Returns_data!H52</f>
        <v/>
      </c>
      <c r="M52" s="26">
        <f>Returns_data!K52</f>
        <v/>
      </c>
      <c r="N52" s="26">
        <f>Returns_data!B52</f>
        <v/>
      </c>
      <c r="O52" s="26">
        <f>Returns_data!F52</f>
        <v/>
      </c>
      <c r="P52" s="26">
        <f>Returns_data!I52</f>
        <v/>
      </c>
      <c r="Q52" s="26">
        <f>Returns_data!J52</f>
        <v/>
      </c>
      <c r="R52" s="26">
        <f>Returns_data!L52</f>
        <v/>
      </c>
      <c r="S52" s="26">
        <f>Returns_data!M52</f>
        <v/>
      </c>
      <c r="T52" s="26">
        <f>Returns_data!N52</f>
        <v/>
      </c>
      <c r="U52" s="26">
        <f>Returns_data!P52</f>
        <v/>
      </c>
      <c r="V52" s="26">
        <f>Returns_data!S52</f>
        <v/>
      </c>
      <c r="W52" s="26">
        <f>Returns_data!T52</f>
        <v/>
      </c>
      <c r="X52" s="26">
        <f>Returns_data!U52</f>
        <v/>
      </c>
      <c r="Y52" s="26">
        <f>Returns_data!W52</f>
        <v/>
      </c>
      <c r="Z52" s="26">
        <f>Returns_data!X52</f>
        <v/>
      </c>
      <c r="AA52" s="26">
        <f>Returns_data!Y52</f>
        <v/>
      </c>
      <c r="AB52" s="26">
        <f>Returns_data!AA52</f>
        <v/>
      </c>
      <c r="AC52" s="26">
        <f>Returns_data!AB52</f>
        <v/>
      </c>
      <c r="AD52" s="26">
        <f>Returns_data!AD52</f>
        <v/>
      </c>
      <c r="AE52" s="26">
        <f>Returns_data!AE52</f>
        <v/>
      </c>
      <c r="AF52" s="26">
        <f>Returns_data!AF52</f>
        <v/>
      </c>
      <c r="AG52" s="26">
        <f>Returns_data!AG52</f>
        <v/>
      </c>
      <c r="AH52" s="26">
        <f>Returns_data!AH52</f>
        <v/>
      </c>
      <c r="AI52" s="26">
        <f>Returns_data!AI52</f>
        <v/>
      </c>
      <c r="AJ52" s="26">
        <f>Returns_data!AJ52</f>
        <v/>
      </c>
      <c r="AK52" s="26">
        <f>Returns_data!AK52</f>
        <v/>
      </c>
      <c r="AL52" s="26">
        <f>Returns_data!AL52</f>
        <v/>
      </c>
      <c r="AM52" s="26">
        <f>Returns_data!AM52</f>
        <v/>
      </c>
      <c r="AN52" s="26">
        <f>Returns_data!AN52</f>
        <v/>
      </c>
    </row>
    <row r="53">
      <c r="A53" s="24" t="inlineStr">
        <is>
          <t>2019-04-01</t>
        </is>
      </c>
      <c r="B53" s="26">
        <f>Returns_data!R53</f>
        <v/>
      </c>
      <c r="C53" s="26">
        <f>Returns_data!Z53</f>
        <v/>
      </c>
      <c r="D53" s="26">
        <f>Returns_data!C53</f>
        <v/>
      </c>
      <c r="E53" s="26">
        <f>Returns_data!D53</f>
        <v/>
      </c>
      <c r="F53" s="26">
        <f>Returns_data!AC53</f>
        <v/>
      </c>
      <c r="G53" s="26">
        <f>Returns_data!E53</f>
        <v/>
      </c>
      <c r="H53" s="26">
        <f>Returns_data!V53</f>
        <v/>
      </c>
      <c r="I53" s="26">
        <f>Returns_data!G53</f>
        <v/>
      </c>
      <c r="J53" s="26">
        <f>Returns_data!O53</f>
        <v/>
      </c>
      <c r="K53" s="26">
        <f>Returns_data!Q53</f>
        <v/>
      </c>
      <c r="L53" s="26">
        <f>Returns_data!H53</f>
        <v/>
      </c>
      <c r="M53" s="26">
        <f>Returns_data!K53</f>
        <v/>
      </c>
      <c r="N53" s="26">
        <f>Returns_data!B53</f>
        <v/>
      </c>
      <c r="O53" s="26">
        <f>Returns_data!F53</f>
        <v/>
      </c>
      <c r="P53" s="26">
        <f>Returns_data!I53</f>
        <v/>
      </c>
      <c r="Q53" s="26">
        <f>Returns_data!J53</f>
        <v/>
      </c>
      <c r="R53" s="26">
        <f>Returns_data!L53</f>
        <v/>
      </c>
      <c r="S53" s="26">
        <f>Returns_data!M53</f>
        <v/>
      </c>
      <c r="T53" s="26">
        <f>Returns_data!N53</f>
        <v/>
      </c>
      <c r="U53" s="26">
        <f>Returns_data!P53</f>
        <v/>
      </c>
      <c r="V53" s="26">
        <f>Returns_data!S53</f>
        <v/>
      </c>
      <c r="W53" s="26">
        <f>Returns_data!T53</f>
        <v/>
      </c>
      <c r="X53" s="26">
        <f>Returns_data!U53</f>
        <v/>
      </c>
      <c r="Y53" s="26">
        <f>Returns_data!W53</f>
        <v/>
      </c>
      <c r="Z53" s="26">
        <f>Returns_data!X53</f>
        <v/>
      </c>
      <c r="AA53" s="26">
        <f>Returns_data!Y53</f>
        <v/>
      </c>
      <c r="AB53" s="26">
        <f>Returns_data!AA53</f>
        <v/>
      </c>
      <c r="AC53" s="26">
        <f>Returns_data!AB53</f>
        <v/>
      </c>
      <c r="AD53" s="26">
        <f>Returns_data!AD53</f>
        <v/>
      </c>
      <c r="AE53" s="26">
        <f>Returns_data!AE53</f>
        <v/>
      </c>
      <c r="AF53" s="26">
        <f>Returns_data!AF53</f>
        <v/>
      </c>
      <c r="AG53" s="26">
        <f>Returns_data!AG53</f>
        <v/>
      </c>
      <c r="AH53" s="26">
        <f>Returns_data!AH53</f>
        <v/>
      </c>
      <c r="AI53" s="26">
        <f>Returns_data!AI53</f>
        <v/>
      </c>
      <c r="AJ53" s="26">
        <f>Returns_data!AJ53</f>
        <v/>
      </c>
      <c r="AK53" s="26">
        <f>Returns_data!AK53</f>
        <v/>
      </c>
      <c r="AL53" s="26">
        <f>Returns_data!AL53</f>
        <v/>
      </c>
      <c r="AM53" s="26">
        <f>Returns_data!AM53</f>
        <v/>
      </c>
      <c r="AN53" s="26">
        <f>Returns_data!AN53</f>
        <v/>
      </c>
    </row>
    <row r="54">
      <c r="A54" s="24" t="inlineStr">
        <is>
          <t>2019-05-01</t>
        </is>
      </c>
      <c r="B54" s="26">
        <f>Returns_data!R54</f>
        <v/>
      </c>
      <c r="C54" s="26">
        <f>Returns_data!Z54</f>
        <v/>
      </c>
      <c r="D54" s="26">
        <f>Returns_data!C54</f>
        <v/>
      </c>
      <c r="E54" s="26">
        <f>Returns_data!D54</f>
        <v/>
      </c>
      <c r="F54" s="26">
        <f>Returns_data!AC54</f>
        <v/>
      </c>
      <c r="G54" s="26">
        <f>Returns_data!E54</f>
        <v/>
      </c>
      <c r="H54" s="26">
        <f>Returns_data!V54</f>
        <v/>
      </c>
      <c r="I54" s="26">
        <f>Returns_data!G54</f>
        <v/>
      </c>
      <c r="J54" s="26">
        <f>Returns_data!O54</f>
        <v/>
      </c>
      <c r="K54" s="26">
        <f>Returns_data!Q54</f>
        <v/>
      </c>
      <c r="L54" s="26">
        <f>Returns_data!H54</f>
        <v/>
      </c>
      <c r="M54" s="26">
        <f>Returns_data!K54</f>
        <v/>
      </c>
      <c r="N54" s="26">
        <f>Returns_data!B54</f>
        <v/>
      </c>
      <c r="O54" s="26">
        <f>Returns_data!F54</f>
        <v/>
      </c>
      <c r="P54" s="26">
        <f>Returns_data!I54</f>
        <v/>
      </c>
      <c r="Q54" s="26">
        <f>Returns_data!J54</f>
        <v/>
      </c>
      <c r="R54" s="26">
        <f>Returns_data!L54</f>
        <v/>
      </c>
      <c r="S54" s="26">
        <f>Returns_data!M54</f>
        <v/>
      </c>
      <c r="T54" s="26">
        <f>Returns_data!N54</f>
        <v/>
      </c>
      <c r="U54" s="26">
        <f>Returns_data!P54</f>
        <v/>
      </c>
      <c r="V54" s="26">
        <f>Returns_data!S54</f>
        <v/>
      </c>
      <c r="W54" s="26">
        <f>Returns_data!T54</f>
        <v/>
      </c>
      <c r="X54" s="26">
        <f>Returns_data!U54</f>
        <v/>
      </c>
      <c r="Y54" s="26">
        <f>Returns_data!W54</f>
        <v/>
      </c>
      <c r="Z54" s="26">
        <f>Returns_data!X54</f>
        <v/>
      </c>
      <c r="AA54" s="26">
        <f>Returns_data!Y54</f>
        <v/>
      </c>
      <c r="AB54" s="26">
        <f>Returns_data!AA54</f>
        <v/>
      </c>
      <c r="AC54" s="26">
        <f>Returns_data!AB54</f>
        <v/>
      </c>
      <c r="AD54" s="26">
        <f>Returns_data!AD54</f>
        <v/>
      </c>
      <c r="AE54" s="26">
        <f>Returns_data!AE54</f>
        <v/>
      </c>
      <c r="AF54" s="26">
        <f>Returns_data!AF54</f>
        <v/>
      </c>
      <c r="AG54" s="26">
        <f>Returns_data!AG54</f>
        <v/>
      </c>
      <c r="AH54" s="26">
        <f>Returns_data!AH54</f>
        <v/>
      </c>
      <c r="AI54" s="26">
        <f>Returns_data!AI54</f>
        <v/>
      </c>
      <c r="AJ54" s="26">
        <f>Returns_data!AJ54</f>
        <v/>
      </c>
      <c r="AK54" s="26">
        <f>Returns_data!AK54</f>
        <v/>
      </c>
      <c r="AL54" s="26">
        <f>Returns_data!AL54</f>
        <v/>
      </c>
      <c r="AM54" s="26">
        <f>Returns_data!AM54</f>
        <v/>
      </c>
      <c r="AN54" s="26">
        <f>Returns_data!AN54</f>
        <v/>
      </c>
    </row>
    <row r="55">
      <c r="A55" s="24" t="inlineStr">
        <is>
          <t>2019-06-01</t>
        </is>
      </c>
      <c r="B55" s="26">
        <f>Returns_data!R55</f>
        <v/>
      </c>
      <c r="C55" s="26">
        <f>Returns_data!Z55</f>
        <v/>
      </c>
      <c r="D55" s="26">
        <f>Returns_data!C55</f>
        <v/>
      </c>
      <c r="E55" s="26">
        <f>Returns_data!D55</f>
        <v/>
      </c>
      <c r="F55" s="26">
        <f>Returns_data!AC55</f>
        <v/>
      </c>
      <c r="G55" s="26">
        <f>Returns_data!E55</f>
        <v/>
      </c>
      <c r="H55" s="26">
        <f>Returns_data!V55</f>
        <v/>
      </c>
      <c r="I55" s="26">
        <f>Returns_data!G55</f>
        <v/>
      </c>
      <c r="J55" s="26">
        <f>Returns_data!O55</f>
        <v/>
      </c>
      <c r="K55" s="26">
        <f>Returns_data!Q55</f>
        <v/>
      </c>
      <c r="L55" s="26">
        <f>Returns_data!H55</f>
        <v/>
      </c>
      <c r="M55" s="26">
        <f>Returns_data!K55</f>
        <v/>
      </c>
      <c r="N55" s="26">
        <f>Returns_data!B55</f>
        <v/>
      </c>
      <c r="O55" s="26">
        <f>Returns_data!F55</f>
        <v/>
      </c>
      <c r="P55" s="26">
        <f>Returns_data!I55</f>
        <v/>
      </c>
      <c r="Q55" s="26">
        <f>Returns_data!J55</f>
        <v/>
      </c>
      <c r="R55" s="26">
        <f>Returns_data!L55</f>
        <v/>
      </c>
      <c r="S55" s="26">
        <f>Returns_data!M55</f>
        <v/>
      </c>
      <c r="T55" s="26">
        <f>Returns_data!N55</f>
        <v/>
      </c>
      <c r="U55" s="26">
        <f>Returns_data!P55</f>
        <v/>
      </c>
      <c r="V55" s="26">
        <f>Returns_data!S55</f>
        <v/>
      </c>
      <c r="W55" s="26">
        <f>Returns_data!T55</f>
        <v/>
      </c>
      <c r="X55" s="26">
        <f>Returns_data!U55</f>
        <v/>
      </c>
      <c r="Y55" s="26">
        <f>Returns_data!W55</f>
        <v/>
      </c>
      <c r="Z55" s="26">
        <f>Returns_data!X55</f>
        <v/>
      </c>
      <c r="AA55" s="26">
        <f>Returns_data!Y55</f>
        <v/>
      </c>
      <c r="AB55" s="26">
        <f>Returns_data!AA55</f>
        <v/>
      </c>
      <c r="AC55" s="26">
        <f>Returns_data!AB55</f>
        <v/>
      </c>
      <c r="AD55" s="26">
        <f>Returns_data!AD55</f>
        <v/>
      </c>
      <c r="AE55" s="26">
        <f>Returns_data!AE55</f>
        <v/>
      </c>
      <c r="AF55" s="26">
        <f>Returns_data!AF55</f>
        <v/>
      </c>
      <c r="AG55" s="26">
        <f>Returns_data!AG55</f>
        <v/>
      </c>
      <c r="AH55" s="26">
        <f>Returns_data!AH55</f>
        <v/>
      </c>
      <c r="AI55" s="26">
        <f>Returns_data!AI55</f>
        <v/>
      </c>
      <c r="AJ55" s="26">
        <f>Returns_data!AJ55</f>
        <v/>
      </c>
      <c r="AK55" s="26">
        <f>Returns_data!AK55</f>
        <v/>
      </c>
      <c r="AL55" s="26">
        <f>Returns_data!AL55</f>
        <v/>
      </c>
      <c r="AM55" s="26">
        <f>Returns_data!AM55</f>
        <v/>
      </c>
      <c r="AN55" s="26">
        <f>Returns_data!AN55</f>
        <v/>
      </c>
    </row>
    <row r="56">
      <c r="A56" s="24" t="inlineStr">
        <is>
          <t>2019-07-01</t>
        </is>
      </c>
      <c r="B56" s="26">
        <f>Returns_data!R56</f>
        <v/>
      </c>
      <c r="C56" s="26">
        <f>Returns_data!Z56</f>
        <v/>
      </c>
      <c r="D56" s="26">
        <f>Returns_data!C56</f>
        <v/>
      </c>
      <c r="E56" s="26">
        <f>Returns_data!D56</f>
        <v/>
      </c>
      <c r="F56" s="26">
        <f>Returns_data!AC56</f>
        <v/>
      </c>
      <c r="G56" s="26">
        <f>Returns_data!E56</f>
        <v/>
      </c>
      <c r="H56" s="26">
        <f>Returns_data!V56</f>
        <v/>
      </c>
      <c r="I56" s="26">
        <f>Returns_data!G56</f>
        <v/>
      </c>
      <c r="J56" s="26">
        <f>Returns_data!O56</f>
        <v/>
      </c>
      <c r="K56" s="26">
        <f>Returns_data!Q56</f>
        <v/>
      </c>
      <c r="L56" s="26">
        <f>Returns_data!H56</f>
        <v/>
      </c>
      <c r="M56" s="26">
        <f>Returns_data!K56</f>
        <v/>
      </c>
      <c r="N56" s="26">
        <f>Returns_data!B56</f>
        <v/>
      </c>
      <c r="O56" s="26">
        <f>Returns_data!F56</f>
        <v/>
      </c>
      <c r="P56" s="26">
        <f>Returns_data!I56</f>
        <v/>
      </c>
      <c r="Q56" s="26">
        <f>Returns_data!J56</f>
        <v/>
      </c>
      <c r="R56" s="26">
        <f>Returns_data!L56</f>
        <v/>
      </c>
      <c r="S56" s="26">
        <f>Returns_data!M56</f>
        <v/>
      </c>
      <c r="T56" s="26">
        <f>Returns_data!N56</f>
        <v/>
      </c>
      <c r="U56" s="26">
        <f>Returns_data!P56</f>
        <v/>
      </c>
      <c r="V56" s="26">
        <f>Returns_data!S56</f>
        <v/>
      </c>
      <c r="W56" s="26">
        <f>Returns_data!T56</f>
        <v/>
      </c>
      <c r="X56" s="26">
        <f>Returns_data!U56</f>
        <v/>
      </c>
      <c r="Y56" s="26">
        <f>Returns_data!W56</f>
        <v/>
      </c>
      <c r="Z56" s="26">
        <f>Returns_data!X56</f>
        <v/>
      </c>
      <c r="AA56" s="26">
        <f>Returns_data!Y56</f>
        <v/>
      </c>
      <c r="AB56" s="26">
        <f>Returns_data!AA56</f>
        <v/>
      </c>
      <c r="AC56" s="26">
        <f>Returns_data!AB56</f>
        <v/>
      </c>
      <c r="AD56" s="26">
        <f>Returns_data!AD56</f>
        <v/>
      </c>
      <c r="AE56" s="26">
        <f>Returns_data!AE56</f>
        <v/>
      </c>
      <c r="AF56" s="26">
        <f>Returns_data!AF56</f>
        <v/>
      </c>
      <c r="AG56" s="26">
        <f>Returns_data!AG56</f>
        <v/>
      </c>
      <c r="AH56" s="26">
        <f>Returns_data!AH56</f>
        <v/>
      </c>
      <c r="AI56" s="26">
        <f>Returns_data!AI56</f>
        <v/>
      </c>
      <c r="AJ56" s="26">
        <f>Returns_data!AJ56</f>
        <v/>
      </c>
      <c r="AK56" s="26">
        <f>Returns_data!AK56</f>
        <v/>
      </c>
      <c r="AL56" s="26">
        <f>Returns_data!AL56</f>
        <v/>
      </c>
      <c r="AM56" s="26">
        <f>Returns_data!AM56</f>
        <v/>
      </c>
      <c r="AN56" s="26">
        <f>Returns_data!AN56</f>
        <v/>
      </c>
    </row>
    <row r="57">
      <c r="A57" s="24" t="inlineStr">
        <is>
          <t>2019-08-01</t>
        </is>
      </c>
      <c r="B57" s="26">
        <f>Returns_data!R57</f>
        <v/>
      </c>
      <c r="C57" s="26">
        <f>Returns_data!Z57</f>
        <v/>
      </c>
      <c r="D57" s="26">
        <f>Returns_data!C57</f>
        <v/>
      </c>
      <c r="E57" s="26">
        <f>Returns_data!D57</f>
        <v/>
      </c>
      <c r="F57" s="26">
        <f>Returns_data!AC57</f>
        <v/>
      </c>
      <c r="G57" s="26">
        <f>Returns_data!E57</f>
        <v/>
      </c>
      <c r="H57" s="26">
        <f>Returns_data!V57</f>
        <v/>
      </c>
      <c r="I57" s="26">
        <f>Returns_data!G57</f>
        <v/>
      </c>
      <c r="J57" s="26">
        <f>Returns_data!O57</f>
        <v/>
      </c>
      <c r="K57" s="26">
        <f>Returns_data!Q57</f>
        <v/>
      </c>
      <c r="L57" s="26">
        <f>Returns_data!H57</f>
        <v/>
      </c>
      <c r="M57" s="26">
        <f>Returns_data!K57</f>
        <v/>
      </c>
      <c r="N57" s="26">
        <f>Returns_data!B57</f>
        <v/>
      </c>
      <c r="O57" s="26">
        <f>Returns_data!F57</f>
        <v/>
      </c>
      <c r="P57" s="26">
        <f>Returns_data!I57</f>
        <v/>
      </c>
      <c r="Q57" s="26">
        <f>Returns_data!J57</f>
        <v/>
      </c>
      <c r="R57" s="26">
        <f>Returns_data!L57</f>
        <v/>
      </c>
      <c r="S57" s="26">
        <f>Returns_data!M57</f>
        <v/>
      </c>
      <c r="T57" s="26">
        <f>Returns_data!N57</f>
        <v/>
      </c>
      <c r="U57" s="26">
        <f>Returns_data!P57</f>
        <v/>
      </c>
      <c r="V57" s="26">
        <f>Returns_data!S57</f>
        <v/>
      </c>
      <c r="W57" s="26">
        <f>Returns_data!T57</f>
        <v/>
      </c>
      <c r="X57" s="26">
        <f>Returns_data!U57</f>
        <v/>
      </c>
      <c r="Y57" s="26">
        <f>Returns_data!W57</f>
        <v/>
      </c>
      <c r="Z57" s="26">
        <f>Returns_data!X57</f>
        <v/>
      </c>
      <c r="AA57" s="26">
        <f>Returns_data!Y57</f>
        <v/>
      </c>
      <c r="AB57" s="26">
        <f>Returns_data!AA57</f>
        <v/>
      </c>
      <c r="AC57" s="26">
        <f>Returns_data!AB57</f>
        <v/>
      </c>
      <c r="AD57" s="26">
        <f>Returns_data!AD57</f>
        <v/>
      </c>
      <c r="AE57" s="26">
        <f>Returns_data!AE57</f>
        <v/>
      </c>
      <c r="AF57" s="26">
        <f>Returns_data!AF57</f>
        <v/>
      </c>
      <c r="AG57" s="26">
        <f>Returns_data!AG57</f>
        <v/>
      </c>
      <c r="AH57" s="26">
        <f>Returns_data!AH57</f>
        <v/>
      </c>
      <c r="AI57" s="26">
        <f>Returns_data!AI57</f>
        <v/>
      </c>
      <c r="AJ57" s="26">
        <f>Returns_data!AJ57</f>
        <v/>
      </c>
      <c r="AK57" s="26">
        <f>Returns_data!AK57</f>
        <v/>
      </c>
      <c r="AL57" s="26">
        <f>Returns_data!AL57</f>
        <v/>
      </c>
      <c r="AM57" s="26">
        <f>Returns_data!AM57</f>
        <v/>
      </c>
      <c r="AN57" s="26">
        <f>Returns_data!AN57</f>
        <v/>
      </c>
    </row>
    <row r="58">
      <c r="A58" s="24" t="inlineStr">
        <is>
          <t>2019-09-01</t>
        </is>
      </c>
      <c r="B58" s="26">
        <f>Returns_data!R58</f>
        <v/>
      </c>
      <c r="C58" s="26">
        <f>Returns_data!Z58</f>
        <v/>
      </c>
      <c r="D58" s="26">
        <f>Returns_data!C58</f>
        <v/>
      </c>
      <c r="E58" s="26">
        <f>Returns_data!D58</f>
        <v/>
      </c>
      <c r="F58" s="26">
        <f>Returns_data!AC58</f>
        <v/>
      </c>
      <c r="G58" s="26">
        <f>Returns_data!E58</f>
        <v/>
      </c>
      <c r="H58" s="26">
        <f>Returns_data!V58</f>
        <v/>
      </c>
      <c r="I58" s="26">
        <f>Returns_data!G58</f>
        <v/>
      </c>
      <c r="J58" s="26">
        <f>Returns_data!O58</f>
        <v/>
      </c>
      <c r="K58" s="26">
        <f>Returns_data!Q58</f>
        <v/>
      </c>
      <c r="L58" s="26">
        <f>Returns_data!H58</f>
        <v/>
      </c>
      <c r="M58" s="26">
        <f>Returns_data!K58</f>
        <v/>
      </c>
      <c r="N58" s="26">
        <f>Returns_data!B58</f>
        <v/>
      </c>
      <c r="O58" s="26">
        <f>Returns_data!F58</f>
        <v/>
      </c>
      <c r="P58" s="26">
        <f>Returns_data!I58</f>
        <v/>
      </c>
      <c r="Q58" s="26">
        <f>Returns_data!J58</f>
        <v/>
      </c>
      <c r="R58" s="26">
        <f>Returns_data!L58</f>
        <v/>
      </c>
      <c r="S58" s="26">
        <f>Returns_data!M58</f>
        <v/>
      </c>
      <c r="T58" s="26">
        <f>Returns_data!N58</f>
        <v/>
      </c>
      <c r="U58" s="26">
        <f>Returns_data!P58</f>
        <v/>
      </c>
      <c r="V58" s="26">
        <f>Returns_data!S58</f>
        <v/>
      </c>
      <c r="W58" s="26">
        <f>Returns_data!T58</f>
        <v/>
      </c>
      <c r="X58" s="26">
        <f>Returns_data!U58</f>
        <v/>
      </c>
      <c r="Y58" s="26">
        <f>Returns_data!W58</f>
        <v/>
      </c>
      <c r="Z58" s="26">
        <f>Returns_data!X58</f>
        <v/>
      </c>
      <c r="AA58" s="26">
        <f>Returns_data!Y58</f>
        <v/>
      </c>
      <c r="AB58" s="26">
        <f>Returns_data!AA58</f>
        <v/>
      </c>
      <c r="AC58" s="26">
        <f>Returns_data!AB58</f>
        <v/>
      </c>
      <c r="AD58" s="26">
        <f>Returns_data!AD58</f>
        <v/>
      </c>
      <c r="AE58" s="26">
        <f>Returns_data!AE58</f>
        <v/>
      </c>
      <c r="AF58" s="26">
        <f>Returns_data!AF58</f>
        <v/>
      </c>
      <c r="AG58" s="26">
        <f>Returns_data!AG58</f>
        <v/>
      </c>
      <c r="AH58" s="26">
        <f>Returns_data!AH58</f>
        <v/>
      </c>
      <c r="AI58" s="26">
        <f>Returns_data!AI58</f>
        <v/>
      </c>
      <c r="AJ58" s="26">
        <f>Returns_data!AJ58</f>
        <v/>
      </c>
      <c r="AK58" s="26">
        <f>Returns_data!AK58</f>
        <v/>
      </c>
      <c r="AL58" s="26">
        <f>Returns_data!AL58</f>
        <v/>
      </c>
      <c r="AM58" s="26">
        <f>Returns_data!AM58</f>
        <v/>
      </c>
      <c r="AN58" s="26">
        <f>Returns_data!AN58</f>
        <v/>
      </c>
    </row>
    <row r="59">
      <c r="A59" s="24" t="inlineStr">
        <is>
          <t>2019-10-01</t>
        </is>
      </c>
      <c r="B59" s="26">
        <f>Returns_data!R59</f>
        <v/>
      </c>
      <c r="C59" s="26">
        <f>Returns_data!Z59</f>
        <v/>
      </c>
      <c r="D59" s="26">
        <f>Returns_data!C59</f>
        <v/>
      </c>
      <c r="E59" s="26">
        <f>Returns_data!D59</f>
        <v/>
      </c>
      <c r="F59" s="26">
        <f>Returns_data!AC59</f>
        <v/>
      </c>
      <c r="G59" s="26">
        <f>Returns_data!E59</f>
        <v/>
      </c>
      <c r="H59" s="26">
        <f>Returns_data!V59</f>
        <v/>
      </c>
      <c r="I59" s="26">
        <f>Returns_data!G59</f>
        <v/>
      </c>
      <c r="J59" s="26">
        <f>Returns_data!O59</f>
        <v/>
      </c>
      <c r="K59" s="26">
        <f>Returns_data!Q59</f>
        <v/>
      </c>
      <c r="L59" s="26">
        <f>Returns_data!H59</f>
        <v/>
      </c>
      <c r="M59" s="26">
        <f>Returns_data!K59</f>
        <v/>
      </c>
      <c r="N59" s="26">
        <f>Returns_data!B59</f>
        <v/>
      </c>
      <c r="O59" s="26">
        <f>Returns_data!F59</f>
        <v/>
      </c>
      <c r="P59" s="26">
        <f>Returns_data!I59</f>
        <v/>
      </c>
      <c r="Q59" s="26">
        <f>Returns_data!J59</f>
        <v/>
      </c>
      <c r="R59" s="26">
        <f>Returns_data!L59</f>
        <v/>
      </c>
      <c r="S59" s="26">
        <f>Returns_data!M59</f>
        <v/>
      </c>
      <c r="T59" s="26">
        <f>Returns_data!N59</f>
        <v/>
      </c>
      <c r="U59" s="26">
        <f>Returns_data!P59</f>
        <v/>
      </c>
      <c r="V59" s="26">
        <f>Returns_data!S59</f>
        <v/>
      </c>
      <c r="W59" s="26">
        <f>Returns_data!T59</f>
        <v/>
      </c>
      <c r="X59" s="26">
        <f>Returns_data!U59</f>
        <v/>
      </c>
      <c r="Y59" s="26">
        <f>Returns_data!W59</f>
        <v/>
      </c>
      <c r="Z59" s="26">
        <f>Returns_data!X59</f>
        <v/>
      </c>
      <c r="AA59" s="26">
        <f>Returns_data!Y59</f>
        <v/>
      </c>
      <c r="AB59" s="26">
        <f>Returns_data!AA59</f>
        <v/>
      </c>
      <c r="AC59" s="26">
        <f>Returns_data!AB59</f>
        <v/>
      </c>
      <c r="AD59" s="26">
        <f>Returns_data!AD59</f>
        <v/>
      </c>
      <c r="AE59" s="26">
        <f>Returns_data!AE59</f>
        <v/>
      </c>
      <c r="AF59" s="26">
        <f>Returns_data!AF59</f>
        <v/>
      </c>
      <c r="AG59" s="26">
        <f>Returns_data!AG59</f>
        <v/>
      </c>
      <c r="AH59" s="26">
        <f>Returns_data!AH59</f>
        <v/>
      </c>
      <c r="AI59" s="26">
        <f>Returns_data!AI59</f>
        <v/>
      </c>
      <c r="AJ59" s="26">
        <f>Returns_data!AJ59</f>
        <v/>
      </c>
      <c r="AK59" s="26">
        <f>Returns_data!AK59</f>
        <v/>
      </c>
      <c r="AL59" s="26">
        <f>Returns_data!AL59</f>
        <v/>
      </c>
      <c r="AM59" s="26">
        <f>Returns_data!AM59</f>
        <v/>
      </c>
      <c r="AN59" s="26">
        <f>Returns_data!AN59</f>
        <v/>
      </c>
    </row>
    <row r="60">
      <c r="A60" s="24" t="inlineStr">
        <is>
          <t>2019-11-01</t>
        </is>
      </c>
      <c r="B60" s="26">
        <f>Returns_data!R60</f>
        <v/>
      </c>
      <c r="C60" s="26">
        <f>Returns_data!Z60</f>
        <v/>
      </c>
      <c r="D60" s="26">
        <f>Returns_data!C60</f>
        <v/>
      </c>
      <c r="E60" s="26">
        <f>Returns_data!D60</f>
        <v/>
      </c>
      <c r="F60" s="26">
        <f>Returns_data!AC60</f>
        <v/>
      </c>
      <c r="G60" s="26">
        <f>Returns_data!E60</f>
        <v/>
      </c>
      <c r="H60" s="26">
        <f>Returns_data!V60</f>
        <v/>
      </c>
      <c r="I60" s="26">
        <f>Returns_data!G60</f>
        <v/>
      </c>
      <c r="J60" s="26">
        <f>Returns_data!O60</f>
        <v/>
      </c>
      <c r="K60" s="26">
        <f>Returns_data!Q60</f>
        <v/>
      </c>
      <c r="L60" s="26">
        <f>Returns_data!H60</f>
        <v/>
      </c>
      <c r="M60" s="26">
        <f>Returns_data!K60</f>
        <v/>
      </c>
      <c r="N60" s="26">
        <f>Returns_data!B60</f>
        <v/>
      </c>
      <c r="O60" s="26">
        <f>Returns_data!F60</f>
        <v/>
      </c>
      <c r="P60" s="26">
        <f>Returns_data!I60</f>
        <v/>
      </c>
      <c r="Q60" s="26">
        <f>Returns_data!J60</f>
        <v/>
      </c>
      <c r="R60" s="26">
        <f>Returns_data!L60</f>
        <v/>
      </c>
      <c r="S60" s="26">
        <f>Returns_data!M60</f>
        <v/>
      </c>
      <c r="T60" s="26">
        <f>Returns_data!N60</f>
        <v/>
      </c>
      <c r="U60" s="26">
        <f>Returns_data!P60</f>
        <v/>
      </c>
      <c r="V60" s="26">
        <f>Returns_data!S60</f>
        <v/>
      </c>
      <c r="W60" s="26">
        <f>Returns_data!T60</f>
        <v/>
      </c>
      <c r="X60" s="26">
        <f>Returns_data!U60</f>
        <v/>
      </c>
      <c r="Y60" s="26">
        <f>Returns_data!W60</f>
        <v/>
      </c>
      <c r="Z60" s="26">
        <f>Returns_data!X60</f>
        <v/>
      </c>
      <c r="AA60" s="26">
        <f>Returns_data!Y60</f>
        <v/>
      </c>
      <c r="AB60" s="26">
        <f>Returns_data!AA60</f>
        <v/>
      </c>
      <c r="AC60" s="26">
        <f>Returns_data!AB60</f>
        <v/>
      </c>
      <c r="AD60" s="26">
        <f>Returns_data!AD60</f>
        <v/>
      </c>
      <c r="AE60" s="26">
        <f>Returns_data!AE60</f>
        <v/>
      </c>
      <c r="AF60" s="26">
        <f>Returns_data!AF60</f>
        <v/>
      </c>
      <c r="AG60" s="26">
        <f>Returns_data!AG60</f>
        <v/>
      </c>
      <c r="AH60" s="26">
        <f>Returns_data!AH60</f>
        <v/>
      </c>
      <c r="AI60" s="26">
        <f>Returns_data!AI60</f>
        <v/>
      </c>
      <c r="AJ60" s="26">
        <f>Returns_data!AJ60</f>
        <v/>
      </c>
      <c r="AK60" s="26">
        <f>Returns_data!AK60</f>
        <v/>
      </c>
      <c r="AL60" s="26">
        <f>Returns_data!AL60</f>
        <v/>
      </c>
      <c r="AM60" s="26">
        <f>Returns_data!AM60</f>
        <v/>
      </c>
      <c r="AN60" s="26">
        <f>Returns_data!AN60</f>
        <v/>
      </c>
    </row>
    <row r="61">
      <c r="A61" s="24" t="inlineStr">
        <is>
          <t>2019-12-01</t>
        </is>
      </c>
      <c r="B61" s="26">
        <f>Returns_data!R61</f>
        <v/>
      </c>
      <c r="C61" s="26">
        <f>Returns_data!Z61</f>
        <v/>
      </c>
      <c r="D61" s="26">
        <f>Returns_data!C61</f>
        <v/>
      </c>
      <c r="E61" s="26">
        <f>Returns_data!D61</f>
        <v/>
      </c>
      <c r="F61" s="26">
        <f>Returns_data!AC61</f>
        <v/>
      </c>
      <c r="G61" s="26">
        <f>Returns_data!E61</f>
        <v/>
      </c>
      <c r="H61" s="26">
        <f>Returns_data!V61</f>
        <v/>
      </c>
      <c r="I61" s="26">
        <f>Returns_data!G61</f>
        <v/>
      </c>
      <c r="J61" s="26">
        <f>Returns_data!O61</f>
        <v/>
      </c>
      <c r="K61" s="26">
        <f>Returns_data!Q61</f>
        <v/>
      </c>
      <c r="L61" s="26">
        <f>Returns_data!H61</f>
        <v/>
      </c>
      <c r="M61" s="26">
        <f>Returns_data!K61</f>
        <v/>
      </c>
      <c r="N61" s="26">
        <f>Returns_data!B61</f>
        <v/>
      </c>
      <c r="O61" s="26">
        <f>Returns_data!F61</f>
        <v/>
      </c>
      <c r="P61" s="26">
        <f>Returns_data!I61</f>
        <v/>
      </c>
      <c r="Q61" s="26">
        <f>Returns_data!J61</f>
        <v/>
      </c>
      <c r="R61" s="26">
        <f>Returns_data!L61</f>
        <v/>
      </c>
      <c r="S61" s="26">
        <f>Returns_data!M61</f>
        <v/>
      </c>
      <c r="T61" s="26">
        <f>Returns_data!N61</f>
        <v/>
      </c>
      <c r="U61" s="26">
        <f>Returns_data!P61</f>
        <v/>
      </c>
      <c r="V61" s="26">
        <f>Returns_data!S61</f>
        <v/>
      </c>
      <c r="W61" s="26">
        <f>Returns_data!T61</f>
        <v/>
      </c>
      <c r="X61" s="26">
        <f>Returns_data!U61</f>
        <v/>
      </c>
      <c r="Y61" s="26">
        <f>Returns_data!W61</f>
        <v/>
      </c>
      <c r="Z61" s="26">
        <f>Returns_data!X61</f>
        <v/>
      </c>
      <c r="AA61" s="26">
        <f>Returns_data!Y61</f>
        <v/>
      </c>
      <c r="AB61" s="26">
        <f>Returns_data!AA61</f>
        <v/>
      </c>
      <c r="AC61" s="26">
        <f>Returns_data!AB61</f>
        <v/>
      </c>
      <c r="AD61" s="26">
        <f>Returns_data!AD61</f>
        <v/>
      </c>
      <c r="AE61" s="26">
        <f>Returns_data!AE61</f>
        <v/>
      </c>
      <c r="AF61" s="26">
        <f>Returns_data!AF61</f>
        <v/>
      </c>
      <c r="AG61" s="26">
        <f>Returns_data!AG61</f>
        <v/>
      </c>
      <c r="AH61" s="26">
        <f>Returns_data!AH61</f>
        <v/>
      </c>
      <c r="AI61" s="26">
        <f>Returns_data!AI61</f>
        <v/>
      </c>
      <c r="AJ61" s="26">
        <f>Returns_data!AJ61</f>
        <v/>
      </c>
      <c r="AK61" s="26">
        <f>Returns_data!AK61</f>
        <v/>
      </c>
      <c r="AL61" s="26">
        <f>Returns_data!AL61</f>
        <v/>
      </c>
      <c r="AM61" s="26">
        <f>Returns_data!AM61</f>
        <v/>
      </c>
      <c r="AN61" s="26">
        <f>Returns_data!AN61</f>
        <v/>
      </c>
    </row>
    <row r="62">
      <c r="A62" s="24" t="inlineStr">
        <is>
          <t>2020-01-01</t>
        </is>
      </c>
      <c r="B62" s="26">
        <f>Returns_data!R62</f>
        <v/>
      </c>
      <c r="C62" s="26">
        <f>Returns_data!Z62</f>
        <v/>
      </c>
      <c r="D62" s="26">
        <f>Returns_data!C62</f>
        <v/>
      </c>
      <c r="E62" s="26">
        <f>Returns_data!D62</f>
        <v/>
      </c>
      <c r="F62" s="26">
        <f>Returns_data!AC62</f>
        <v/>
      </c>
      <c r="G62" s="26">
        <f>Returns_data!E62</f>
        <v/>
      </c>
      <c r="H62" s="26">
        <f>Returns_data!V62</f>
        <v/>
      </c>
      <c r="I62" s="26">
        <f>Returns_data!G62</f>
        <v/>
      </c>
      <c r="J62" s="26">
        <f>Returns_data!O62</f>
        <v/>
      </c>
      <c r="K62" s="26">
        <f>Returns_data!Q62</f>
        <v/>
      </c>
      <c r="L62" s="26">
        <f>Returns_data!H62</f>
        <v/>
      </c>
      <c r="M62" s="26">
        <f>Returns_data!K62</f>
        <v/>
      </c>
      <c r="N62" s="26">
        <f>Returns_data!B62</f>
        <v/>
      </c>
      <c r="O62" s="26">
        <f>Returns_data!F62</f>
        <v/>
      </c>
      <c r="P62" s="26">
        <f>Returns_data!I62</f>
        <v/>
      </c>
      <c r="Q62" s="26">
        <f>Returns_data!J62</f>
        <v/>
      </c>
      <c r="R62" s="26">
        <f>Returns_data!L62</f>
        <v/>
      </c>
      <c r="S62" s="26">
        <f>Returns_data!M62</f>
        <v/>
      </c>
      <c r="T62" s="26">
        <f>Returns_data!N62</f>
        <v/>
      </c>
      <c r="U62" s="26">
        <f>Returns_data!P62</f>
        <v/>
      </c>
      <c r="V62" s="26">
        <f>Returns_data!S62</f>
        <v/>
      </c>
      <c r="W62" s="26">
        <f>Returns_data!T62</f>
        <v/>
      </c>
      <c r="X62" s="26">
        <f>Returns_data!U62</f>
        <v/>
      </c>
      <c r="Y62" s="26">
        <f>Returns_data!W62</f>
        <v/>
      </c>
      <c r="Z62" s="26">
        <f>Returns_data!X62</f>
        <v/>
      </c>
      <c r="AA62" s="26">
        <f>Returns_data!Y62</f>
        <v/>
      </c>
      <c r="AB62" s="26">
        <f>Returns_data!AA62</f>
        <v/>
      </c>
      <c r="AC62" s="26">
        <f>Returns_data!AB62</f>
        <v/>
      </c>
      <c r="AD62" s="26">
        <f>Returns_data!AD62</f>
        <v/>
      </c>
      <c r="AE62" s="26">
        <f>Returns_data!AE62</f>
        <v/>
      </c>
      <c r="AF62" s="26">
        <f>Returns_data!AF62</f>
        <v/>
      </c>
      <c r="AG62" s="26">
        <f>Returns_data!AG62</f>
        <v/>
      </c>
      <c r="AH62" s="26">
        <f>Returns_data!AH62</f>
        <v/>
      </c>
      <c r="AI62" s="26">
        <f>Returns_data!AI62</f>
        <v/>
      </c>
      <c r="AJ62" s="26">
        <f>Returns_data!AJ62</f>
        <v/>
      </c>
      <c r="AK62" s="26">
        <f>Returns_data!AK62</f>
        <v/>
      </c>
      <c r="AL62" s="26">
        <f>Returns_data!AL62</f>
        <v/>
      </c>
      <c r="AM62" s="26">
        <f>Returns_data!AM62</f>
        <v/>
      </c>
      <c r="AN62" s="26">
        <f>Returns_data!AN62</f>
        <v/>
      </c>
    </row>
    <row r="63">
      <c r="A63" s="24" t="inlineStr">
        <is>
          <t>2020-02-01</t>
        </is>
      </c>
      <c r="B63" s="26">
        <f>Returns_data!R63</f>
        <v/>
      </c>
      <c r="C63" s="26">
        <f>Returns_data!Z63</f>
        <v/>
      </c>
      <c r="D63" s="26">
        <f>Returns_data!C63</f>
        <v/>
      </c>
      <c r="E63" s="26">
        <f>Returns_data!D63</f>
        <v/>
      </c>
      <c r="F63" s="26">
        <f>Returns_data!AC63</f>
        <v/>
      </c>
      <c r="G63" s="26">
        <f>Returns_data!E63</f>
        <v/>
      </c>
      <c r="H63" s="26">
        <f>Returns_data!V63</f>
        <v/>
      </c>
      <c r="I63" s="26">
        <f>Returns_data!G63</f>
        <v/>
      </c>
      <c r="J63" s="26">
        <f>Returns_data!O63</f>
        <v/>
      </c>
      <c r="K63" s="26">
        <f>Returns_data!Q63</f>
        <v/>
      </c>
      <c r="L63" s="26">
        <f>Returns_data!H63</f>
        <v/>
      </c>
      <c r="M63" s="26">
        <f>Returns_data!K63</f>
        <v/>
      </c>
      <c r="N63" s="26">
        <f>Returns_data!B63</f>
        <v/>
      </c>
      <c r="O63" s="26">
        <f>Returns_data!F63</f>
        <v/>
      </c>
      <c r="P63" s="26">
        <f>Returns_data!I63</f>
        <v/>
      </c>
      <c r="Q63" s="26">
        <f>Returns_data!J63</f>
        <v/>
      </c>
      <c r="R63" s="26">
        <f>Returns_data!L63</f>
        <v/>
      </c>
      <c r="S63" s="26">
        <f>Returns_data!M63</f>
        <v/>
      </c>
      <c r="T63" s="26">
        <f>Returns_data!N63</f>
        <v/>
      </c>
      <c r="U63" s="26">
        <f>Returns_data!P63</f>
        <v/>
      </c>
      <c r="V63" s="26">
        <f>Returns_data!S63</f>
        <v/>
      </c>
      <c r="W63" s="26">
        <f>Returns_data!T63</f>
        <v/>
      </c>
      <c r="X63" s="26">
        <f>Returns_data!U63</f>
        <v/>
      </c>
      <c r="Y63" s="26">
        <f>Returns_data!W63</f>
        <v/>
      </c>
      <c r="Z63" s="26">
        <f>Returns_data!X63</f>
        <v/>
      </c>
      <c r="AA63" s="26">
        <f>Returns_data!Y63</f>
        <v/>
      </c>
      <c r="AB63" s="26">
        <f>Returns_data!AA63</f>
        <v/>
      </c>
      <c r="AC63" s="26">
        <f>Returns_data!AB63</f>
        <v/>
      </c>
      <c r="AD63" s="26">
        <f>Returns_data!AD63</f>
        <v/>
      </c>
      <c r="AE63" s="26">
        <f>Returns_data!AE63</f>
        <v/>
      </c>
      <c r="AF63" s="26">
        <f>Returns_data!AF63</f>
        <v/>
      </c>
      <c r="AG63" s="26">
        <f>Returns_data!AG63</f>
        <v/>
      </c>
      <c r="AH63" s="26">
        <f>Returns_data!AH63</f>
        <v/>
      </c>
      <c r="AI63" s="26">
        <f>Returns_data!AI63</f>
        <v/>
      </c>
      <c r="AJ63" s="26">
        <f>Returns_data!AJ63</f>
        <v/>
      </c>
      <c r="AK63" s="26">
        <f>Returns_data!AK63</f>
        <v/>
      </c>
      <c r="AL63" s="26">
        <f>Returns_data!AL63</f>
        <v/>
      </c>
      <c r="AM63" s="26">
        <f>Returns_data!AM63</f>
        <v/>
      </c>
      <c r="AN63" s="26">
        <f>Returns_data!AN63</f>
        <v/>
      </c>
    </row>
    <row r="64">
      <c r="A64" s="24" t="inlineStr">
        <is>
          <t>2020-03-01</t>
        </is>
      </c>
      <c r="B64" s="26">
        <f>Returns_data!R64</f>
        <v/>
      </c>
      <c r="C64" s="26">
        <f>Returns_data!Z64</f>
        <v/>
      </c>
      <c r="D64" s="26">
        <f>Returns_data!C64</f>
        <v/>
      </c>
      <c r="E64" s="26">
        <f>Returns_data!D64</f>
        <v/>
      </c>
      <c r="F64" s="26">
        <f>Returns_data!AC64</f>
        <v/>
      </c>
      <c r="G64" s="26">
        <f>Returns_data!E64</f>
        <v/>
      </c>
      <c r="H64" s="26">
        <f>Returns_data!V64</f>
        <v/>
      </c>
      <c r="I64" s="26">
        <f>Returns_data!G64</f>
        <v/>
      </c>
      <c r="J64" s="26">
        <f>Returns_data!O64</f>
        <v/>
      </c>
      <c r="K64" s="26">
        <f>Returns_data!Q64</f>
        <v/>
      </c>
      <c r="L64" s="26">
        <f>Returns_data!H64</f>
        <v/>
      </c>
      <c r="M64" s="26">
        <f>Returns_data!K64</f>
        <v/>
      </c>
      <c r="N64" s="26">
        <f>Returns_data!B64</f>
        <v/>
      </c>
      <c r="O64" s="26">
        <f>Returns_data!F64</f>
        <v/>
      </c>
      <c r="P64" s="26">
        <f>Returns_data!I64</f>
        <v/>
      </c>
      <c r="Q64" s="26">
        <f>Returns_data!J64</f>
        <v/>
      </c>
      <c r="R64" s="26">
        <f>Returns_data!L64</f>
        <v/>
      </c>
      <c r="S64" s="26">
        <f>Returns_data!M64</f>
        <v/>
      </c>
      <c r="T64" s="26">
        <f>Returns_data!N64</f>
        <v/>
      </c>
      <c r="U64" s="26">
        <f>Returns_data!P64</f>
        <v/>
      </c>
      <c r="V64" s="26">
        <f>Returns_data!S64</f>
        <v/>
      </c>
      <c r="W64" s="26">
        <f>Returns_data!T64</f>
        <v/>
      </c>
      <c r="X64" s="26">
        <f>Returns_data!U64</f>
        <v/>
      </c>
      <c r="Y64" s="26">
        <f>Returns_data!W64</f>
        <v/>
      </c>
      <c r="Z64" s="26">
        <f>Returns_data!X64</f>
        <v/>
      </c>
      <c r="AA64" s="26">
        <f>Returns_data!Y64</f>
        <v/>
      </c>
      <c r="AB64" s="26">
        <f>Returns_data!AA64</f>
        <v/>
      </c>
      <c r="AC64" s="26">
        <f>Returns_data!AB64</f>
        <v/>
      </c>
      <c r="AD64" s="26">
        <f>Returns_data!AD64</f>
        <v/>
      </c>
      <c r="AE64" s="26">
        <f>Returns_data!AE64</f>
        <v/>
      </c>
      <c r="AF64" s="26">
        <f>Returns_data!AF64</f>
        <v/>
      </c>
      <c r="AG64" s="26">
        <f>Returns_data!AG64</f>
        <v/>
      </c>
      <c r="AH64" s="26">
        <f>Returns_data!AH64</f>
        <v/>
      </c>
      <c r="AI64" s="26">
        <f>Returns_data!AI64</f>
        <v/>
      </c>
      <c r="AJ64" s="26">
        <f>Returns_data!AJ64</f>
        <v/>
      </c>
      <c r="AK64" s="26">
        <f>Returns_data!AK64</f>
        <v/>
      </c>
      <c r="AL64" s="26">
        <f>Returns_data!AL64</f>
        <v/>
      </c>
      <c r="AM64" s="26">
        <f>Returns_data!AM64</f>
        <v/>
      </c>
      <c r="AN64" s="26">
        <f>Returns_data!AN64</f>
        <v/>
      </c>
    </row>
    <row r="65">
      <c r="A65" s="24" t="inlineStr">
        <is>
          <t>2020-04-01</t>
        </is>
      </c>
      <c r="B65" s="26">
        <f>Returns_data!R65</f>
        <v/>
      </c>
      <c r="C65" s="26">
        <f>Returns_data!Z65</f>
        <v/>
      </c>
      <c r="D65" s="26">
        <f>Returns_data!C65</f>
        <v/>
      </c>
      <c r="E65" s="26">
        <f>Returns_data!D65</f>
        <v/>
      </c>
      <c r="F65" s="26">
        <f>Returns_data!AC65</f>
        <v/>
      </c>
      <c r="G65" s="26">
        <f>Returns_data!E65</f>
        <v/>
      </c>
      <c r="H65" s="26">
        <f>Returns_data!V65</f>
        <v/>
      </c>
      <c r="I65" s="26">
        <f>Returns_data!G65</f>
        <v/>
      </c>
      <c r="J65" s="26">
        <f>Returns_data!O65</f>
        <v/>
      </c>
      <c r="K65" s="26">
        <f>Returns_data!Q65</f>
        <v/>
      </c>
      <c r="L65" s="26">
        <f>Returns_data!H65</f>
        <v/>
      </c>
      <c r="M65" s="26">
        <f>Returns_data!K65</f>
        <v/>
      </c>
      <c r="N65" s="26">
        <f>Returns_data!B65</f>
        <v/>
      </c>
      <c r="O65" s="26">
        <f>Returns_data!F65</f>
        <v/>
      </c>
      <c r="P65" s="26">
        <f>Returns_data!I65</f>
        <v/>
      </c>
      <c r="Q65" s="26">
        <f>Returns_data!J65</f>
        <v/>
      </c>
      <c r="R65" s="26">
        <f>Returns_data!L65</f>
        <v/>
      </c>
      <c r="S65" s="26">
        <f>Returns_data!M65</f>
        <v/>
      </c>
      <c r="T65" s="26">
        <f>Returns_data!N65</f>
        <v/>
      </c>
      <c r="U65" s="26">
        <f>Returns_data!P65</f>
        <v/>
      </c>
      <c r="V65" s="26">
        <f>Returns_data!S65</f>
        <v/>
      </c>
      <c r="W65" s="26">
        <f>Returns_data!T65</f>
        <v/>
      </c>
      <c r="X65" s="26">
        <f>Returns_data!U65</f>
        <v/>
      </c>
      <c r="Y65" s="26">
        <f>Returns_data!W65</f>
        <v/>
      </c>
      <c r="Z65" s="26">
        <f>Returns_data!X65</f>
        <v/>
      </c>
      <c r="AA65" s="26">
        <f>Returns_data!Y65</f>
        <v/>
      </c>
      <c r="AB65" s="26">
        <f>Returns_data!AA65</f>
        <v/>
      </c>
      <c r="AC65" s="26">
        <f>Returns_data!AB65</f>
        <v/>
      </c>
      <c r="AD65" s="26">
        <f>Returns_data!AD65</f>
        <v/>
      </c>
      <c r="AE65" s="26">
        <f>Returns_data!AE65</f>
        <v/>
      </c>
      <c r="AF65" s="26">
        <f>Returns_data!AF65</f>
        <v/>
      </c>
      <c r="AG65" s="26">
        <f>Returns_data!AG65</f>
        <v/>
      </c>
      <c r="AH65" s="26">
        <f>Returns_data!AH65</f>
        <v/>
      </c>
      <c r="AI65" s="26">
        <f>Returns_data!AI65</f>
        <v/>
      </c>
      <c r="AJ65" s="26">
        <f>Returns_data!AJ65</f>
        <v/>
      </c>
      <c r="AK65" s="26">
        <f>Returns_data!AK65</f>
        <v/>
      </c>
      <c r="AL65" s="26">
        <f>Returns_data!AL65</f>
        <v/>
      </c>
      <c r="AM65" s="26">
        <f>Returns_data!AM65</f>
        <v/>
      </c>
      <c r="AN65" s="26">
        <f>Returns_data!AN65</f>
        <v/>
      </c>
    </row>
    <row r="66">
      <c r="A66" s="24" t="inlineStr">
        <is>
          <t>2020-05-01</t>
        </is>
      </c>
      <c r="B66" s="26">
        <f>Returns_data!R66</f>
        <v/>
      </c>
      <c r="C66" s="26">
        <f>Returns_data!Z66</f>
        <v/>
      </c>
      <c r="D66" s="26">
        <f>Returns_data!C66</f>
        <v/>
      </c>
      <c r="E66" s="26">
        <f>Returns_data!D66</f>
        <v/>
      </c>
      <c r="F66" s="26">
        <f>Returns_data!AC66</f>
        <v/>
      </c>
      <c r="G66" s="26">
        <f>Returns_data!E66</f>
        <v/>
      </c>
      <c r="H66" s="26">
        <f>Returns_data!V66</f>
        <v/>
      </c>
      <c r="I66" s="26">
        <f>Returns_data!G66</f>
        <v/>
      </c>
      <c r="J66" s="26">
        <f>Returns_data!O66</f>
        <v/>
      </c>
      <c r="K66" s="26">
        <f>Returns_data!Q66</f>
        <v/>
      </c>
      <c r="L66" s="26">
        <f>Returns_data!H66</f>
        <v/>
      </c>
      <c r="M66" s="26">
        <f>Returns_data!K66</f>
        <v/>
      </c>
      <c r="N66" s="26">
        <f>Returns_data!B66</f>
        <v/>
      </c>
      <c r="O66" s="26">
        <f>Returns_data!F66</f>
        <v/>
      </c>
      <c r="P66" s="26">
        <f>Returns_data!I66</f>
        <v/>
      </c>
      <c r="Q66" s="26">
        <f>Returns_data!J66</f>
        <v/>
      </c>
      <c r="R66" s="26">
        <f>Returns_data!L66</f>
        <v/>
      </c>
      <c r="S66" s="26">
        <f>Returns_data!M66</f>
        <v/>
      </c>
      <c r="T66" s="26">
        <f>Returns_data!N66</f>
        <v/>
      </c>
      <c r="U66" s="26">
        <f>Returns_data!P66</f>
        <v/>
      </c>
      <c r="V66" s="26">
        <f>Returns_data!S66</f>
        <v/>
      </c>
      <c r="W66" s="26">
        <f>Returns_data!T66</f>
        <v/>
      </c>
      <c r="X66" s="26">
        <f>Returns_data!U66</f>
        <v/>
      </c>
      <c r="Y66" s="26">
        <f>Returns_data!W66</f>
        <v/>
      </c>
      <c r="Z66" s="26">
        <f>Returns_data!X66</f>
        <v/>
      </c>
      <c r="AA66" s="26">
        <f>Returns_data!Y66</f>
        <v/>
      </c>
      <c r="AB66" s="26">
        <f>Returns_data!AA66</f>
        <v/>
      </c>
      <c r="AC66" s="26">
        <f>Returns_data!AB66</f>
        <v/>
      </c>
      <c r="AD66" s="26">
        <f>Returns_data!AD66</f>
        <v/>
      </c>
      <c r="AE66" s="26">
        <f>Returns_data!AE66</f>
        <v/>
      </c>
      <c r="AF66" s="26">
        <f>Returns_data!AF66</f>
        <v/>
      </c>
      <c r="AG66" s="26">
        <f>Returns_data!AG66</f>
        <v/>
      </c>
      <c r="AH66" s="26">
        <f>Returns_data!AH66</f>
        <v/>
      </c>
      <c r="AI66" s="26">
        <f>Returns_data!AI66</f>
        <v/>
      </c>
      <c r="AJ66" s="26">
        <f>Returns_data!AJ66</f>
        <v/>
      </c>
      <c r="AK66" s="26">
        <f>Returns_data!AK66</f>
        <v/>
      </c>
      <c r="AL66" s="26">
        <f>Returns_data!AL66</f>
        <v/>
      </c>
      <c r="AM66" s="26">
        <f>Returns_data!AM66</f>
        <v/>
      </c>
      <c r="AN66" s="26">
        <f>Returns_data!AN66</f>
        <v/>
      </c>
    </row>
    <row r="67">
      <c r="A67" s="24" t="inlineStr">
        <is>
          <t>2020-06-01</t>
        </is>
      </c>
      <c r="B67" s="26">
        <f>Returns_data!R67</f>
        <v/>
      </c>
      <c r="C67" s="26">
        <f>Returns_data!Z67</f>
        <v/>
      </c>
      <c r="D67" s="26">
        <f>Returns_data!C67</f>
        <v/>
      </c>
      <c r="E67" s="26">
        <f>Returns_data!D67</f>
        <v/>
      </c>
      <c r="F67" s="26">
        <f>Returns_data!AC67</f>
        <v/>
      </c>
      <c r="G67" s="26">
        <f>Returns_data!E67</f>
        <v/>
      </c>
      <c r="H67" s="26">
        <f>Returns_data!V67</f>
        <v/>
      </c>
      <c r="I67" s="26">
        <f>Returns_data!G67</f>
        <v/>
      </c>
      <c r="J67" s="26">
        <f>Returns_data!O67</f>
        <v/>
      </c>
      <c r="K67" s="26">
        <f>Returns_data!Q67</f>
        <v/>
      </c>
      <c r="L67" s="26">
        <f>Returns_data!H67</f>
        <v/>
      </c>
      <c r="M67" s="26">
        <f>Returns_data!K67</f>
        <v/>
      </c>
      <c r="N67" s="26">
        <f>Returns_data!B67</f>
        <v/>
      </c>
      <c r="O67" s="26">
        <f>Returns_data!F67</f>
        <v/>
      </c>
      <c r="P67" s="26">
        <f>Returns_data!I67</f>
        <v/>
      </c>
      <c r="Q67" s="26">
        <f>Returns_data!J67</f>
        <v/>
      </c>
      <c r="R67" s="26">
        <f>Returns_data!L67</f>
        <v/>
      </c>
      <c r="S67" s="26">
        <f>Returns_data!M67</f>
        <v/>
      </c>
      <c r="T67" s="26">
        <f>Returns_data!N67</f>
        <v/>
      </c>
      <c r="U67" s="26">
        <f>Returns_data!P67</f>
        <v/>
      </c>
      <c r="V67" s="26">
        <f>Returns_data!S67</f>
        <v/>
      </c>
      <c r="W67" s="26">
        <f>Returns_data!T67</f>
        <v/>
      </c>
      <c r="X67" s="26">
        <f>Returns_data!U67</f>
        <v/>
      </c>
      <c r="Y67" s="26">
        <f>Returns_data!W67</f>
        <v/>
      </c>
      <c r="Z67" s="26">
        <f>Returns_data!X67</f>
        <v/>
      </c>
      <c r="AA67" s="26">
        <f>Returns_data!Y67</f>
        <v/>
      </c>
      <c r="AB67" s="26">
        <f>Returns_data!AA67</f>
        <v/>
      </c>
      <c r="AC67" s="26">
        <f>Returns_data!AB67</f>
        <v/>
      </c>
      <c r="AD67" s="26">
        <f>Returns_data!AD67</f>
        <v/>
      </c>
      <c r="AE67" s="26">
        <f>Returns_data!AE67</f>
        <v/>
      </c>
      <c r="AF67" s="26">
        <f>Returns_data!AF67</f>
        <v/>
      </c>
      <c r="AG67" s="26">
        <f>Returns_data!AG67</f>
        <v/>
      </c>
      <c r="AH67" s="26">
        <f>Returns_data!AH67</f>
        <v/>
      </c>
      <c r="AI67" s="26">
        <f>Returns_data!AI67</f>
        <v/>
      </c>
      <c r="AJ67" s="26">
        <f>Returns_data!AJ67</f>
        <v/>
      </c>
      <c r="AK67" s="26">
        <f>Returns_data!AK67</f>
        <v/>
      </c>
      <c r="AL67" s="26">
        <f>Returns_data!AL67</f>
        <v/>
      </c>
      <c r="AM67" s="26">
        <f>Returns_data!AM67</f>
        <v/>
      </c>
      <c r="AN67" s="26">
        <f>Returns_data!AN67</f>
        <v/>
      </c>
    </row>
    <row r="68">
      <c r="A68" s="24" t="inlineStr">
        <is>
          <t>2020-07-01</t>
        </is>
      </c>
      <c r="B68" s="26">
        <f>Returns_data!R68</f>
        <v/>
      </c>
      <c r="C68" s="26">
        <f>Returns_data!Z68</f>
        <v/>
      </c>
      <c r="D68" s="26">
        <f>Returns_data!C68</f>
        <v/>
      </c>
      <c r="E68" s="26">
        <f>Returns_data!D68</f>
        <v/>
      </c>
      <c r="F68" s="26">
        <f>Returns_data!AC68</f>
        <v/>
      </c>
      <c r="G68" s="26">
        <f>Returns_data!E68</f>
        <v/>
      </c>
      <c r="H68" s="26">
        <f>Returns_data!V68</f>
        <v/>
      </c>
      <c r="I68" s="26">
        <f>Returns_data!G68</f>
        <v/>
      </c>
      <c r="J68" s="26">
        <f>Returns_data!O68</f>
        <v/>
      </c>
      <c r="K68" s="26">
        <f>Returns_data!Q68</f>
        <v/>
      </c>
      <c r="L68" s="26">
        <f>Returns_data!H68</f>
        <v/>
      </c>
      <c r="M68" s="26">
        <f>Returns_data!K68</f>
        <v/>
      </c>
      <c r="N68" s="26">
        <f>Returns_data!B68</f>
        <v/>
      </c>
      <c r="O68" s="26">
        <f>Returns_data!F68</f>
        <v/>
      </c>
      <c r="P68" s="26">
        <f>Returns_data!I68</f>
        <v/>
      </c>
      <c r="Q68" s="26">
        <f>Returns_data!J68</f>
        <v/>
      </c>
      <c r="R68" s="26">
        <f>Returns_data!L68</f>
        <v/>
      </c>
      <c r="S68" s="26">
        <f>Returns_data!M68</f>
        <v/>
      </c>
      <c r="T68" s="26">
        <f>Returns_data!N68</f>
        <v/>
      </c>
      <c r="U68" s="26">
        <f>Returns_data!P68</f>
        <v/>
      </c>
      <c r="V68" s="26">
        <f>Returns_data!S68</f>
        <v/>
      </c>
      <c r="W68" s="26">
        <f>Returns_data!T68</f>
        <v/>
      </c>
      <c r="X68" s="26">
        <f>Returns_data!U68</f>
        <v/>
      </c>
      <c r="Y68" s="26">
        <f>Returns_data!W68</f>
        <v/>
      </c>
      <c r="Z68" s="26">
        <f>Returns_data!X68</f>
        <v/>
      </c>
      <c r="AA68" s="26">
        <f>Returns_data!Y68</f>
        <v/>
      </c>
      <c r="AB68" s="26">
        <f>Returns_data!AA68</f>
        <v/>
      </c>
      <c r="AC68" s="26">
        <f>Returns_data!AB68</f>
        <v/>
      </c>
      <c r="AD68" s="26">
        <f>Returns_data!AD68</f>
        <v/>
      </c>
      <c r="AE68" s="26">
        <f>Returns_data!AE68</f>
        <v/>
      </c>
      <c r="AF68" s="26">
        <f>Returns_data!AF68</f>
        <v/>
      </c>
      <c r="AG68" s="26">
        <f>Returns_data!AG68</f>
        <v/>
      </c>
      <c r="AH68" s="26">
        <f>Returns_data!AH68</f>
        <v/>
      </c>
      <c r="AI68" s="26">
        <f>Returns_data!AI68</f>
        <v/>
      </c>
      <c r="AJ68" s="26">
        <f>Returns_data!AJ68</f>
        <v/>
      </c>
      <c r="AK68" s="26">
        <f>Returns_data!AK68</f>
        <v/>
      </c>
      <c r="AL68" s="26">
        <f>Returns_data!AL68</f>
        <v/>
      </c>
      <c r="AM68" s="26">
        <f>Returns_data!AM68</f>
        <v/>
      </c>
      <c r="AN68" s="26">
        <f>Returns_data!AN68</f>
        <v/>
      </c>
    </row>
    <row r="69">
      <c r="A69" s="24" t="inlineStr">
        <is>
          <t>2020-08-01</t>
        </is>
      </c>
      <c r="B69" s="26">
        <f>Returns_data!R69</f>
        <v/>
      </c>
      <c r="C69" s="26">
        <f>Returns_data!Z69</f>
        <v/>
      </c>
      <c r="D69" s="26">
        <f>Returns_data!C69</f>
        <v/>
      </c>
      <c r="E69" s="26">
        <f>Returns_data!D69</f>
        <v/>
      </c>
      <c r="F69" s="26">
        <f>Returns_data!AC69</f>
        <v/>
      </c>
      <c r="G69" s="26">
        <f>Returns_data!E69</f>
        <v/>
      </c>
      <c r="H69" s="26">
        <f>Returns_data!V69</f>
        <v/>
      </c>
      <c r="I69" s="26">
        <f>Returns_data!G69</f>
        <v/>
      </c>
      <c r="J69" s="26">
        <f>Returns_data!O69</f>
        <v/>
      </c>
      <c r="K69" s="26">
        <f>Returns_data!Q69</f>
        <v/>
      </c>
      <c r="L69" s="26">
        <f>Returns_data!H69</f>
        <v/>
      </c>
      <c r="M69" s="26">
        <f>Returns_data!K69</f>
        <v/>
      </c>
      <c r="N69" s="26">
        <f>Returns_data!B69</f>
        <v/>
      </c>
      <c r="O69" s="26">
        <f>Returns_data!F69</f>
        <v/>
      </c>
      <c r="P69" s="26">
        <f>Returns_data!I69</f>
        <v/>
      </c>
      <c r="Q69" s="26">
        <f>Returns_data!J69</f>
        <v/>
      </c>
      <c r="R69" s="26">
        <f>Returns_data!L69</f>
        <v/>
      </c>
      <c r="S69" s="26">
        <f>Returns_data!M69</f>
        <v/>
      </c>
      <c r="T69" s="26">
        <f>Returns_data!N69</f>
        <v/>
      </c>
      <c r="U69" s="26">
        <f>Returns_data!P69</f>
        <v/>
      </c>
      <c r="V69" s="26">
        <f>Returns_data!S69</f>
        <v/>
      </c>
      <c r="W69" s="26">
        <f>Returns_data!T69</f>
        <v/>
      </c>
      <c r="X69" s="26">
        <f>Returns_data!U69</f>
        <v/>
      </c>
      <c r="Y69" s="26">
        <f>Returns_data!W69</f>
        <v/>
      </c>
      <c r="Z69" s="26">
        <f>Returns_data!X69</f>
        <v/>
      </c>
      <c r="AA69" s="26">
        <f>Returns_data!Y69</f>
        <v/>
      </c>
      <c r="AB69" s="26">
        <f>Returns_data!AA69</f>
        <v/>
      </c>
      <c r="AC69" s="26">
        <f>Returns_data!AB69</f>
        <v/>
      </c>
      <c r="AD69" s="26">
        <f>Returns_data!AD69</f>
        <v/>
      </c>
      <c r="AE69" s="26">
        <f>Returns_data!AE69</f>
        <v/>
      </c>
      <c r="AF69" s="26">
        <f>Returns_data!AF69</f>
        <v/>
      </c>
      <c r="AG69" s="26">
        <f>Returns_data!AG69</f>
        <v/>
      </c>
      <c r="AH69" s="26">
        <f>Returns_data!AH69</f>
        <v/>
      </c>
      <c r="AI69" s="26">
        <f>Returns_data!AI69</f>
        <v/>
      </c>
      <c r="AJ69" s="26">
        <f>Returns_data!AJ69</f>
        <v/>
      </c>
      <c r="AK69" s="26">
        <f>Returns_data!AK69</f>
        <v/>
      </c>
      <c r="AL69" s="26">
        <f>Returns_data!AL69</f>
        <v/>
      </c>
      <c r="AM69" s="26">
        <f>Returns_data!AM69</f>
        <v/>
      </c>
      <c r="AN69" s="26">
        <f>Returns_data!AN69</f>
        <v/>
      </c>
    </row>
    <row r="70">
      <c r="A70" s="24" t="inlineStr">
        <is>
          <t>2020-09-01</t>
        </is>
      </c>
      <c r="B70" s="26">
        <f>Returns_data!R70</f>
        <v/>
      </c>
      <c r="C70" s="26">
        <f>Returns_data!Z70</f>
        <v/>
      </c>
      <c r="D70" s="26">
        <f>Returns_data!C70</f>
        <v/>
      </c>
      <c r="E70" s="26">
        <f>Returns_data!D70</f>
        <v/>
      </c>
      <c r="F70" s="26">
        <f>Returns_data!AC70</f>
        <v/>
      </c>
      <c r="G70" s="26">
        <f>Returns_data!E70</f>
        <v/>
      </c>
      <c r="H70" s="26">
        <f>Returns_data!V70</f>
        <v/>
      </c>
      <c r="I70" s="26">
        <f>Returns_data!G70</f>
        <v/>
      </c>
      <c r="J70" s="26">
        <f>Returns_data!O70</f>
        <v/>
      </c>
      <c r="K70" s="26">
        <f>Returns_data!Q70</f>
        <v/>
      </c>
      <c r="L70" s="26">
        <f>Returns_data!H70</f>
        <v/>
      </c>
      <c r="M70" s="26">
        <f>Returns_data!K70</f>
        <v/>
      </c>
      <c r="N70" s="26">
        <f>Returns_data!B70</f>
        <v/>
      </c>
      <c r="O70" s="26">
        <f>Returns_data!F70</f>
        <v/>
      </c>
      <c r="P70" s="26">
        <f>Returns_data!I70</f>
        <v/>
      </c>
      <c r="Q70" s="26">
        <f>Returns_data!J70</f>
        <v/>
      </c>
      <c r="R70" s="26">
        <f>Returns_data!L70</f>
        <v/>
      </c>
      <c r="S70" s="26">
        <f>Returns_data!M70</f>
        <v/>
      </c>
      <c r="T70" s="26">
        <f>Returns_data!N70</f>
        <v/>
      </c>
      <c r="U70" s="26">
        <f>Returns_data!P70</f>
        <v/>
      </c>
      <c r="V70" s="26">
        <f>Returns_data!S70</f>
        <v/>
      </c>
      <c r="W70" s="26">
        <f>Returns_data!T70</f>
        <v/>
      </c>
      <c r="X70" s="26">
        <f>Returns_data!U70</f>
        <v/>
      </c>
      <c r="Y70" s="26">
        <f>Returns_data!W70</f>
        <v/>
      </c>
      <c r="Z70" s="26">
        <f>Returns_data!X70</f>
        <v/>
      </c>
      <c r="AA70" s="26">
        <f>Returns_data!Y70</f>
        <v/>
      </c>
      <c r="AB70" s="26">
        <f>Returns_data!AA70</f>
        <v/>
      </c>
      <c r="AC70" s="26">
        <f>Returns_data!AB70</f>
        <v/>
      </c>
      <c r="AD70" s="26">
        <f>Returns_data!AD70</f>
        <v/>
      </c>
      <c r="AE70" s="26">
        <f>Returns_data!AE70</f>
        <v/>
      </c>
      <c r="AF70" s="26">
        <f>Returns_data!AF70</f>
        <v/>
      </c>
      <c r="AG70" s="26">
        <f>Returns_data!AG70</f>
        <v/>
      </c>
      <c r="AH70" s="26">
        <f>Returns_data!AH70</f>
        <v/>
      </c>
      <c r="AI70" s="26">
        <f>Returns_data!AI70</f>
        <v/>
      </c>
      <c r="AJ70" s="26">
        <f>Returns_data!AJ70</f>
        <v/>
      </c>
      <c r="AK70" s="26">
        <f>Returns_data!AK70</f>
        <v/>
      </c>
      <c r="AL70" s="26">
        <f>Returns_data!AL70</f>
        <v/>
      </c>
      <c r="AM70" s="26">
        <f>Returns_data!AM70</f>
        <v/>
      </c>
      <c r="AN70" s="26">
        <f>Returns_data!AN70</f>
        <v/>
      </c>
    </row>
    <row r="71">
      <c r="A71" s="24" t="inlineStr">
        <is>
          <t>2020-10-01</t>
        </is>
      </c>
      <c r="B71" s="26">
        <f>Returns_data!R71</f>
        <v/>
      </c>
      <c r="C71" s="26">
        <f>Returns_data!Z71</f>
        <v/>
      </c>
      <c r="D71" s="26">
        <f>Returns_data!C71</f>
        <v/>
      </c>
      <c r="E71" s="26">
        <f>Returns_data!D71</f>
        <v/>
      </c>
      <c r="F71" s="26">
        <f>Returns_data!AC71</f>
        <v/>
      </c>
      <c r="G71" s="26">
        <f>Returns_data!E71</f>
        <v/>
      </c>
      <c r="H71" s="26">
        <f>Returns_data!V71</f>
        <v/>
      </c>
      <c r="I71" s="26">
        <f>Returns_data!G71</f>
        <v/>
      </c>
      <c r="J71" s="26">
        <f>Returns_data!O71</f>
        <v/>
      </c>
      <c r="K71" s="26">
        <f>Returns_data!Q71</f>
        <v/>
      </c>
      <c r="L71" s="26">
        <f>Returns_data!H71</f>
        <v/>
      </c>
      <c r="M71" s="26">
        <f>Returns_data!K71</f>
        <v/>
      </c>
      <c r="N71" s="26">
        <f>Returns_data!B71</f>
        <v/>
      </c>
      <c r="O71" s="26">
        <f>Returns_data!F71</f>
        <v/>
      </c>
      <c r="P71" s="26">
        <f>Returns_data!I71</f>
        <v/>
      </c>
      <c r="Q71" s="26">
        <f>Returns_data!J71</f>
        <v/>
      </c>
      <c r="R71" s="26">
        <f>Returns_data!L71</f>
        <v/>
      </c>
      <c r="S71" s="26">
        <f>Returns_data!M71</f>
        <v/>
      </c>
      <c r="T71" s="26">
        <f>Returns_data!N71</f>
        <v/>
      </c>
      <c r="U71" s="26">
        <f>Returns_data!P71</f>
        <v/>
      </c>
      <c r="V71" s="26">
        <f>Returns_data!S71</f>
        <v/>
      </c>
      <c r="W71" s="26">
        <f>Returns_data!T71</f>
        <v/>
      </c>
      <c r="X71" s="26">
        <f>Returns_data!U71</f>
        <v/>
      </c>
      <c r="Y71" s="26">
        <f>Returns_data!W71</f>
        <v/>
      </c>
      <c r="Z71" s="26">
        <f>Returns_data!X71</f>
        <v/>
      </c>
      <c r="AA71" s="26">
        <f>Returns_data!Y71</f>
        <v/>
      </c>
      <c r="AB71" s="26">
        <f>Returns_data!AA71</f>
        <v/>
      </c>
      <c r="AC71" s="26">
        <f>Returns_data!AB71</f>
        <v/>
      </c>
      <c r="AD71" s="26">
        <f>Returns_data!AD71</f>
        <v/>
      </c>
      <c r="AE71" s="26">
        <f>Returns_data!AE71</f>
        <v/>
      </c>
      <c r="AF71" s="26">
        <f>Returns_data!AF71</f>
        <v/>
      </c>
      <c r="AG71" s="26">
        <f>Returns_data!AG71</f>
        <v/>
      </c>
      <c r="AH71" s="26">
        <f>Returns_data!AH71</f>
        <v/>
      </c>
      <c r="AI71" s="26">
        <f>Returns_data!AI71</f>
        <v/>
      </c>
      <c r="AJ71" s="26">
        <f>Returns_data!AJ71</f>
        <v/>
      </c>
      <c r="AK71" s="26">
        <f>Returns_data!AK71</f>
        <v/>
      </c>
      <c r="AL71" s="26">
        <f>Returns_data!AL71</f>
        <v/>
      </c>
      <c r="AM71" s="26">
        <f>Returns_data!AM71</f>
        <v/>
      </c>
      <c r="AN71" s="26">
        <f>Returns_data!AN71</f>
        <v/>
      </c>
    </row>
    <row r="72">
      <c r="A72" s="24" t="inlineStr">
        <is>
          <t>2020-11-01</t>
        </is>
      </c>
      <c r="B72" s="26">
        <f>Returns_data!R72</f>
        <v/>
      </c>
      <c r="C72" s="26">
        <f>Returns_data!Z72</f>
        <v/>
      </c>
      <c r="D72" s="26">
        <f>Returns_data!C72</f>
        <v/>
      </c>
      <c r="E72" s="26">
        <f>Returns_data!D72</f>
        <v/>
      </c>
      <c r="F72" s="26">
        <f>Returns_data!AC72</f>
        <v/>
      </c>
      <c r="G72" s="26">
        <f>Returns_data!E72</f>
        <v/>
      </c>
      <c r="H72" s="26">
        <f>Returns_data!V72</f>
        <v/>
      </c>
      <c r="I72" s="26">
        <f>Returns_data!G72</f>
        <v/>
      </c>
      <c r="J72" s="26">
        <f>Returns_data!O72</f>
        <v/>
      </c>
      <c r="K72" s="26">
        <f>Returns_data!Q72</f>
        <v/>
      </c>
      <c r="L72" s="26">
        <f>Returns_data!H72</f>
        <v/>
      </c>
      <c r="M72" s="26">
        <f>Returns_data!K72</f>
        <v/>
      </c>
      <c r="N72" s="26">
        <f>Returns_data!B72</f>
        <v/>
      </c>
      <c r="O72" s="26">
        <f>Returns_data!F72</f>
        <v/>
      </c>
      <c r="P72" s="26">
        <f>Returns_data!I72</f>
        <v/>
      </c>
      <c r="Q72" s="26">
        <f>Returns_data!J72</f>
        <v/>
      </c>
      <c r="R72" s="26">
        <f>Returns_data!L72</f>
        <v/>
      </c>
      <c r="S72" s="26">
        <f>Returns_data!M72</f>
        <v/>
      </c>
      <c r="T72" s="26">
        <f>Returns_data!N72</f>
        <v/>
      </c>
      <c r="U72" s="26">
        <f>Returns_data!P72</f>
        <v/>
      </c>
      <c r="V72" s="26">
        <f>Returns_data!S72</f>
        <v/>
      </c>
      <c r="W72" s="26">
        <f>Returns_data!T72</f>
        <v/>
      </c>
      <c r="X72" s="26">
        <f>Returns_data!U72</f>
        <v/>
      </c>
      <c r="Y72" s="26">
        <f>Returns_data!W72</f>
        <v/>
      </c>
      <c r="Z72" s="26">
        <f>Returns_data!X72</f>
        <v/>
      </c>
      <c r="AA72" s="26">
        <f>Returns_data!Y72</f>
        <v/>
      </c>
      <c r="AB72" s="26">
        <f>Returns_data!AA72</f>
        <v/>
      </c>
      <c r="AC72" s="26">
        <f>Returns_data!AB72</f>
        <v/>
      </c>
      <c r="AD72" s="26">
        <f>Returns_data!AD72</f>
        <v/>
      </c>
      <c r="AE72" s="26">
        <f>Returns_data!AE72</f>
        <v/>
      </c>
      <c r="AF72" s="26">
        <f>Returns_data!AF72</f>
        <v/>
      </c>
      <c r="AG72" s="26">
        <f>Returns_data!AG72</f>
        <v/>
      </c>
      <c r="AH72" s="26">
        <f>Returns_data!AH72</f>
        <v/>
      </c>
      <c r="AI72" s="26">
        <f>Returns_data!AI72</f>
        <v/>
      </c>
      <c r="AJ72" s="26">
        <f>Returns_data!AJ72</f>
        <v/>
      </c>
      <c r="AK72" s="26">
        <f>Returns_data!AK72</f>
        <v/>
      </c>
      <c r="AL72" s="26">
        <f>Returns_data!AL72</f>
        <v/>
      </c>
      <c r="AM72" s="26">
        <f>Returns_data!AM72</f>
        <v/>
      </c>
      <c r="AN72" s="26">
        <f>Returns_data!AN72</f>
        <v/>
      </c>
    </row>
    <row r="73">
      <c r="A73" s="24" t="inlineStr">
        <is>
          <t>2020-12-01</t>
        </is>
      </c>
      <c r="B73" s="26">
        <f>Returns_data!R73</f>
        <v/>
      </c>
      <c r="C73" s="26">
        <f>Returns_data!Z73</f>
        <v/>
      </c>
      <c r="D73" s="26">
        <f>Returns_data!C73</f>
        <v/>
      </c>
      <c r="E73" s="26">
        <f>Returns_data!D73</f>
        <v/>
      </c>
      <c r="F73" s="26">
        <f>Returns_data!AC73</f>
        <v/>
      </c>
      <c r="G73" s="26">
        <f>Returns_data!E73</f>
        <v/>
      </c>
      <c r="H73" s="26">
        <f>Returns_data!V73</f>
        <v/>
      </c>
      <c r="I73" s="26">
        <f>Returns_data!G73</f>
        <v/>
      </c>
      <c r="J73" s="26">
        <f>Returns_data!O73</f>
        <v/>
      </c>
      <c r="K73" s="26">
        <f>Returns_data!Q73</f>
        <v/>
      </c>
      <c r="L73" s="26">
        <f>Returns_data!H73</f>
        <v/>
      </c>
      <c r="M73" s="26">
        <f>Returns_data!K73</f>
        <v/>
      </c>
      <c r="N73" s="26">
        <f>Returns_data!B73</f>
        <v/>
      </c>
      <c r="O73" s="26">
        <f>Returns_data!F73</f>
        <v/>
      </c>
      <c r="P73" s="26">
        <f>Returns_data!I73</f>
        <v/>
      </c>
      <c r="Q73" s="26">
        <f>Returns_data!J73</f>
        <v/>
      </c>
      <c r="R73" s="26">
        <f>Returns_data!L73</f>
        <v/>
      </c>
      <c r="S73" s="26">
        <f>Returns_data!M73</f>
        <v/>
      </c>
      <c r="T73" s="26">
        <f>Returns_data!N73</f>
        <v/>
      </c>
      <c r="U73" s="26">
        <f>Returns_data!P73</f>
        <v/>
      </c>
      <c r="V73" s="26">
        <f>Returns_data!S73</f>
        <v/>
      </c>
      <c r="W73" s="26">
        <f>Returns_data!T73</f>
        <v/>
      </c>
      <c r="X73" s="26">
        <f>Returns_data!U73</f>
        <v/>
      </c>
      <c r="Y73" s="26">
        <f>Returns_data!W73</f>
        <v/>
      </c>
      <c r="Z73" s="26">
        <f>Returns_data!X73</f>
        <v/>
      </c>
      <c r="AA73" s="26">
        <f>Returns_data!Y73</f>
        <v/>
      </c>
      <c r="AB73" s="26">
        <f>Returns_data!AA73</f>
        <v/>
      </c>
      <c r="AC73" s="26">
        <f>Returns_data!AB73</f>
        <v/>
      </c>
      <c r="AD73" s="26">
        <f>Returns_data!AD73</f>
        <v/>
      </c>
      <c r="AE73" s="26">
        <f>Returns_data!AE73</f>
        <v/>
      </c>
      <c r="AF73" s="26">
        <f>Returns_data!AF73</f>
        <v/>
      </c>
      <c r="AG73" s="26">
        <f>Returns_data!AG73</f>
        <v/>
      </c>
      <c r="AH73" s="26">
        <f>Returns_data!AH73</f>
        <v/>
      </c>
      <c r="AI73" s="26">
        <f>Returns_data!AI73</f>
        <v/>
      </c>
      <c r="AJ73" s="26">
        <f>Returns_data!AJ73</f>
        <v/>
      </c>
      <c r="AK73" s="26">
        <f>Returns_data!AK73</f>
        <v/>
      </c>
      <c r="AL73" s="26">
        <f>Returns_data!AL73</f>
        <v/>
      </c>
      <c r="AM73" s="26">
        <f>Returns_data!AM73</f>
        <v/>
      </c>
      <c r="AN73" s="26">
        <f>Returns_data!AN73</f>
        <v/>
      </c>
    </row>
    <row r="74">
      <c r="A74" s="24" t="inlineStr">
        <is>
          <t>2021-01-01</t>
        </is>
      </c>
      <c r="B74" s="26">
        <f>Returns_data!R74</f>
        <v/>
      </c>
      <c r="C74" s="26">
        <f>Returns_data!Z74</f>
        <v/>
      </c>
      <c r="D74" s="26">
        <f>Returns_data!C74</f>
        <v/>
      </c>
      <c r="E74" s="26">
        <f>Returns_data!D74</f>
        <v/>
      </c>
      <c r="F74" s="26">
        <f>Returns_data!AC74</f>
        <v/>
      </c>
      <c r="G74" s="26">
        <f>Returns_data!E74</f>
        <v/>
      </c>
      <c r="H74" s="26">
        <f>Returns_data!V74</f>
        <v/>
      </c>
      <c r="I74" s="26">
        <f>Returns_data!G74</f>
        <v/>
      </c>
      <c r="J74" s="26">
        <f>Returns_data!O74</f>
        <v/>
      </c>
      <c r="K74" s="26">
        <f>Returns_data!Q74</f>
        <v/>
      </c>
      <c r="L74" s="26">
        <f>Returns_data!H74</f>
        <v/>
      </c>
      <c r="M74" s="26">
        <f>Returns_data!K74</f>
        <v/>
      </c>
      <c r="N74" s="26">
        <f>Returns_data!B74</f>
        <v/>
      </c>
      <c r="O74" s="26">
        <f>Returns_data!F74</f>
        <v/>
      </c>
      <c r="P74" s="26">
        <f>Returns_data!I74</f>
        <v/>
      </c>
      <c r="Q74" s="26">
        <f>Returns_data!J74</f>
        <v/>
      </c>
      <c r="R74" s="26">
        <f>Returns_data!L74</f>
        <v/>
      </c>
      <c r="S74" s="26">
        <f>Returns_data!M74</f>
        <v/>
      </c>
      <c r="T74" s="26">
        <f>Returns_data!N74</f>
        <v/>
      </c>
      <c r="U74" s="26">
        <f>Returns_data!P74</f>
        <v/>
      </c>
      <c r="V74" s="26">
        <f>Returns_data!S74</f>
        <v/>
      </c>
      <c r="W74" s="26">
        <f>Returns_data!T74</f>
        <v/>
      </c>
      <c r="X74" s="26">
        <f>Returns_data!U74</f>
        <v/>
      </c>
      <c r="Y74" s="26">
        <f>Returns_data!W74</f>
        <v/>
      </c>
      <c r="Z74" s="26">
        <f>Returns_data!X74</f>
        <v/>
      </c>
      <c r="AA74" s="26">
        <f>Returns_data!Y74</f>
        <v/>
      </c>
      <c r="AB74" s="26">
        <f>Returns_data!AA74</f>
        <v/>
      </c>
      <c r="AC74" s="26">
        <f>Returns_data!AB74</f>
        <v/>
      </c>
      <c r="AD74" s="26">
        <f>Returns_data!AD74</f>
        <v/>
      </c>
      <c r="AE74" s="26">
        <f>Returns_data!AE74</f>
        <v/>
      </c>
      <c r="AF74" s="26">
        <f>Returns_data!AF74</f>
        <v/>
      </c>
      <c r="AG74" s="26">
        <f>Returns_data!AG74</f>
        <v/>
      </c>
      <c r="AH74" s="26">
        <f>Returns_data!AH74</f>
        <v/>
      </c>
      <c r="AI74" s="26">
        <f>Returns_data!AI74</f>
        <v/>
      </c>
      <c r="AJ74" s="26">
        <f>Returns_data!AJ74</f>
        <v/>
      </c>
      <c r="AK74" s="26">
        <f>Returns_data!AK74</f>
        <v/>
      </c>
      <c r="AL74" s="26">
        <f>Returns_data!AL74</f>
        <v/>
      </c>
      <c r="AM74" s="26">
        <f>Returns_data!AM74</f>
        <v/>
      </c>
      <c r="AN74" s="26">
        <f>Returns_data!AN74</f>
        <v/>
      </c>
    </row>
    <row r="75">
      <c r="A75" s="24" t="inlineStr">
        <is>
          <t>2021-02-01</t>
        </is>
      </c>
      <c r="B75" s="26">
        <f>Returns_data!R75</f>
        <v/>
      </c>
      <c r="C75" s="26">
        <f>Returns_data!Z75</f>
        <v/>
      </c>
      <c r="D75" s="26">
        <f>Returns_data!C75</f>
        <v/>
      </c>
      <c r="E75" s="26">
        <f>Returns_data!D75</f>
        <v/>
      </c>
      <c r="F75" s="26">
        <f>Returns_data!AC75</f>
        <v/>
      </c>
      <c r="G75" s="26">
        <f>Returns_data!E75</f>
        <v/>
      </c>
      <c r="H75" s="26">
        <f>Returns_data!V75</f>
        <v/>
      </c>
      <c r="I75" s="26">
        <f>Returns_data!G75</f>
        <v/>
      </c>
      <c r="J75" s="26">
        <f>Returns_data!O75</f>
        <v/>
      </c>
      <c r="K75" s="26">
        <f>Returns_data!Q75</f>
        <v/>
      </c>
      <c r="L75" s="26">
        <f>Returns_data!H75</f>
        <v/>
      </c>
      <c r="M75" s="26">
        <f>Returns_data!K75</f>
        <v/>
      </c>
      <c r="N75" s="26">
        <f>Returns_data!B75</f>
        <v/>
      </c>
      <c r="O75" s="26">
        <f>Returns_data!F75</f>
        <v/>
      </c>
      <c r="P75" s="26">
        <f>Returns_data!I75</f>
        <v/>
      </c>
      <c r="Q75" s="26">
        <f>Returns_data!J75</f>
        <v/>
      </c>
      <c r="R75" s="26">
        <f>Returns_data!L75</f>
        <v/>
      </c>
      <c r="S75" s="26">
        <f>Returns_data!M75</f>
        <v/>
      </c>
      <c r="T75" s="26">
        <f>Returns_data!N75</f>
        <v/>
      </c>
      <c r="U75" s="26">
        <f>Returns_data!P75</f>
        <v/>
      </c>
      <c r="V75" s="26">
        <f>Returns_data!S75</f>
        <v/>
      </c>
      <c r="W75" s="26">
        <f>Returns_data!T75</f>
        <v/>
      </c>
      <c r="X75" s="26">
        <f>Returns_data!U75</f>
        <v/>
      </c>
      <c r="Y75" s="26">
        <f>Returns_data!W75</f>
        <v/>
      </c>
      <c r="Z75" s="26">
        <f>Returns_data!X75</f>
        <v/>
      </c>
      <c r="AA75" s="26">
        <f>Returns_data!Y75</f>
        <v/>
      </c>
      <c r="AB75" s="26">
        <f>Returns_data!AA75</f>
        <v/>
      </c>
      <c r="AC75" s="26">
        <f>Returns_data!AB75</f>
        <v/>
      </c>
      <c r="AD75" s="26">
        <f>Returns_data!AD75</f>
        <v/>
      </c>
      <c r="AE75" s="26">
        <f>Returns_data!AE75</f>
        <v/>
      </c>
      <c r="AF75" s="26">
        <f>Returns_data!AF75</f>
        <v/>
      </c>
      <c r="AG75" s="26">
        <f>Returns_data!AG75</f>
        <v/>
      </c>
      <c r="AH75" s="26">
        <f>Returns_data!AH75</f>
        <v/>
      </c>
      <c r="AI75" s="26">
        <f>Returns_data!AI75</f>
        <v/>
      </c>
      <c r="AJ75" s="26">
        <f>Returns_data!AJ75</f>
        <v/>
      </c>
      <c r="AK75" s="26">
        <f>Returns_data!AK75</f>
        <v/>
      </c>
      <c r="AL75" s="26">
        <f>Returns_data!AL75</f>
        <v/>
      </c>
      <c r="AM75" s="26">
        <f>Returns_data!AM75</f>
        <v/>
      </c>
      <c r="AN75" s="26">
        <f>Returns_data!AN75</f>
        <v/>
      </c>
    </row>
    <row r="76">
      <c r="A76" s="24" t="inlineStr">
        <is>
          <t>2021-03-01</t>
        </is>
      </c>
      <c r="B76" s="26">
        <f>Returns_data!R76</f>
        <v/>
      </c>
      <c r="C76" s="26">
        <f>Returns_data!Z76</f>
        <v/>
      </c>
      <c r="D76" s="26">
        <f>Returns_data!C76</f>
        <v/>
      </c>
      <c r="E76" s="26">
        <f>Returns_data!D76</f>
        <v/>
      </c>
      <c r="F76" s="26">
        <f>Returns_data!AC76</f>
        <v/>
      </c>
      <c r="G76" s="26">
        <f>Returns_data!E76</f>
        <v/>
      </c>
      <c r="H76" s="26">
        <f>Returns_data!V76</f>
        <v/>
      </c>
      <c r="I76" s="26">
        <f>Returns_data!G76</f>
        <v/>
      </c>
      <c r="J76" s="26">
        <f>Returns_data!O76</f>
        <v/>
      </c>
      <c r="K76" s="26">
        <f>Returns_data!Q76</f>
        <v/>
      </c>
      <c r="L76" s="26">
        <f>Returns_data!H76</f>
        <v/>
      </c>
      <c r="M76" s="26">
        <f>Returns_data!K76</f>
        <v/>
      </c>
      <c r="N76" s="26">
        <f>Returns_data!B76</f>
        <v/>
      </c>
      <c r="O76" s="26">
        <f>Returns_data!F76</f>
        <v/>
      </c>
      <c r="P76" s="26">
        <f>Returns_data!I76</f>
        <v/>
      </c>
      <c r="Q76" s="26">
        <f>Returns_data!J76</f>
        <v/>
      </c>
      <c r="R76" s="26">
        <f>Returns_data!L76</f>
        <v/>
      </c>
      <c r="S76" s="26">
        <f>Returns_data!M76</f>
        <v/>
      </c>
      <c r="T76" s="26">
        <f>Returns_data!N76</f>
        <v/>
      </c>
      <c r="U76" s="26">
        <f>Returns_data!P76</f>
        <v/>
      </c>
      <c r="V76" s="26">
        <f>Returns_data!S76</f>
        <v/>
      </c>
      <c r="W76" s="26">
        <f>Returns_data!T76</f>
        <v/>
      </c>
      <c r="X76" s="26">
        <f>Returns_data!U76</f>
        <v/>
      </c>
      <c r="Y76" s="26">
        <f>Returns_data!W76</f>
        <v/>
      </c>
      <c r="Z76" s="26">
        <f>Returns_data!X76</f>
        <v/>
      </c>
      <c r="AA76" s="26">
        <f>Returns_data!Y76</f>
        <v/>
      </c>
      <c r="AB76" s="26">
        <f>Returns_data!AA76</f>
        <v/>
      </c>
      <c r="AC76" s="26">
        <f>Returns_data!AB76</f>
        <v/>
      </c>
      <c r="AD76" s="26">
        <f>Returns_data!AD76</f>
        <v/>
      </c>
      <c r="AE76" s="26">
        <f>Returns_data!AE76</f>
        <v/>
      </c>
      <c r="AF76" s="26">
        <f>Returns_data!AF76</f>
        <v/>
      </c>
      <c r="AG76" s="26">
        <f>Returns_data!AG76</f>
        <v/>
      </c>
      <c r="AH76" s="26">
        <f>Returns_data!AH76</f>
        <v/>
      </c>
      <c r="AI76" s="26">
        <f>Returns_data!AI76</f>
        <v/>
      </c>
      <c r="AJ76" s="26">
        <f>Returns_data!AJ76</f>
        <v/>
      </c>
      <c r="AK76" s="26">
        <f>Returns_data!AK76</f>
        <v/>
      </c>
      <c r="AL76" s="26">
        <f>Returns_data!AL76</f>
        <v/>
      </c>
      <c r="AM76" s="26">
        <f>Returns_data!AM76</f>
        <v/>
      </c>
      <c r="AN76" s="26">
        <f>Returns_data!AN76</f>
        <v/>
      </c>
    </row>
    <row r="77">
      <c r="A77" s="24" t="inlineStr">
        <is>
          <t>2021-04-01</t>
        </is>
      </c>
      <c r="B77" s="26">
        <f>Returns_data!R77</f>
        <v/>
      </c>
      <c r="C77" s="26">
        <f>Returns_data!Z77</f>
        <v/>
      </c>
      <c r="D77" s="26">
        <f>Returns_data!C77</f>
        <v/>
      </c>
      <c r="E77" s="26">
        <f>Returns_data!D77</f>
        <v/>
      </c>
      <c r="F77" s="26">
        <f>Returns_data!AC77</f>
        <v/>
      </c>
      <c r="G77" s="26">
        <f>Returns_data!E77</f>
        <v/>
      </c>
      <c r="H77" s="26">
        <f>Returns_data!V77</f>
        <v/>
      </c>
      <c r="I77" s="26">
        <f>Returns_data!G77</f>
        <v/>
      </c>
      <c r="J77" s="26">
        <f>Returns_data!O77</f>
        <v/>
      </c>
      <c r="K77" s="26">
        <f>Returns_data!Q77</f>
        <v/>
      </c>
      <c r="L77" s="26">
        <f>Returns_data!H77</f>
        <v/>
      </c>
      <c r="M77" s="26">
        <f>Returns_data!K77</f>
        <v/>
      </c>
      <c r="N77" s="26">
        <f>Returns_data!B77</f>
        <v/>
      </c>
      <c r="O77" s="26">
        <f>Returns_data!F77</f>
        <v/>
      </c>
      <c r="P77" s="26">
        <f>Returns_data!I77</f>
        <v/>
      </c>
      <c r="Q77" s="26">
        <f>Returns_data!J77</f>
        <v/>
      </c>
      <c r="R77" s="26">
        <f>Returns_data!L77</f>
        <v/>
      </c>
      <c r="S77" s="26">
        <f>Returns_data!M77</f>
        <v/>
      </c>
      <c r="T77" s="26">
        <f>Returns_data!N77</f>
        <v/>
      </c>
      <c r="U77" s="26">
        <f>Returns_data!P77</f>
        <v/>
      </c>
      <c r="V77" s="26">
        <f>Returns_data!S77</f>
        <v/>
      </c>
      <c r="W77" s="26">
        <f>Returns_data!T77</f>
        <v/>
      </c>
      <c r="X77" s="26">
        <f>Returns_data!U77</f>
        <v/>
      </c>
      <c r="Y77" s="26">
        <f>Returns_data!W77</f>
        <v/>
      </c>
      <c r="Z77" s="26">
        <f>Returns_data!X77</f>
        <v/>
      </c>
      <c r="AA77" s="26">
        <f>Returns_data!Y77</f>
        <v/>
      </c>
      <c r="AB77" s="26">
        <f>Returns_data!AA77</f>
        <v/>
      </c>
      <c r="AC77" s="26">
        <f>Returns_data!AB77</f>
        <v/>
      </c>
      <c r="AD77" s="26">
        <f>Returns_data!AD77</f>
        <v/>
      </c>
      <c r="AE77" s="26">
        <f>Returns_data!AE77</f>
        <v/>
      </c>
      <c r="AF77" s="26">
        <f>Returns_data!AF77</f>
        <v/>
      </c>
      <c r="AG77" s="26">
        <f>Returns_data!AG77</f>
        <v/>
      </c>
      <c r="AH77" s="26">
        <f>Returns_data!AH77</f>
        <v/>
      </c>
      <c r="AI77" s="26">
        <f>Returns_data!AI77</f>
        <v/>
      </c>
      <c r="AJ77" s="26">
        <f>Returns_data!AJ77</f>
        <v/>
      </c>
      <c r="AK77" s="26">
        <f>Returns_data!AK77</f>
        <v/>
      </c>
      <c r="AL77" s="26">
        <f>Returns_data!AL77</f>
        <v/>
      </c>
      <c r="AM77" s="26">
        <f>Returns_data!AM77</f>
        <v/>
      </c>
      <c r="AN77" s="26">
        <f>Returns_data!AN77</f>
        <v/>
      </c>
    </row>
    <row r="78">
      <c r="A78" s="24" t="inlineStr">
        <is>
          <t>2021-05-01</t>
        </is>
      </c>
      <c r="B78" s="26">
        <f>Returns_data!R78</f>
        <v/>
      </c>
      <c r="C78" s="26">
        <f>Returns_data!Z78</f>
        <v/>
      </c>
      <c r="D78" s="26">
        <f>Returns_data!C78</f>
        <v/>
      </c>
      <c r="E78" s="26">
        <f>Returns_data!D78</f>
        <v/>
      </c>
      <c r="F78" s="26">
        <f>Returns_data!AC78</f>
        <v/>
      </c>
      <c r="G78" s="26">
        <f>Returns_data!E78</f>
        <v/>
      </c>
      <c r="H78" s="26">
        <f>Returns_data!V78</f>
        <v/>
      </c>
      <c r="I78" s="26">
        <f>Returns_data!G78</f>
        <v/>
      </c>
      <c r="J78" s="26">
        <f>Returns_data!O78</f>
        <v/>
      </c>
      <c r="K78" s="26">
        <f>Returns_data!Q78</f>
        <v/>
      </c>
      <c r="L78" s="26">
        <f>Returns_data!H78</f>
        <v/>
      </c>
      <c r="M78" s="26">
        <f>Returns_data!K78</f>
        <v/>
      </c>
      <c r="N78" s="26">
        <f>Returns_data!B78</f>
        <v/>
      </c>
      <c r="O78" s="26">
        <f>Returns_data!F78</f>
        <v/>
      </c>
      <c r="P78" s="26">
        <f>Returns_data!I78</f>
        <v/>
      </c>
      <c r="Q78" s="26">
        <f>Returns_data!J78</f>
        <v/>
      </c>
      <c r="R78" s="26">
        <f>Returns_data!L78</f>
        <v/>
      </c>
      <c r="S78" s="26">
        <f>Returns_data!M78</f>
        <v/>
      </c>
      <c r="T78" s="26">
        <f>Returns_data!N78</f>
        <v/>
      </c>
      <c r="U78" s="26">
        <f>Returns_data!P78</f>
        <v/>
      </c>
      <c r="V78" s="26">
        <f>Returns_data!S78</f>
        <v/>
      </c>
      <c r="W78" s="26">
        <f>Returns_data!T78</f>
        <v/>
      </c>
      <c r="X78" s="26">
        <f>Returns_data!U78</f>
        <v/>
      </c>
      <c r="Y78" s="26">
        <f>Returns_data!W78</f>
        <v/>
      </c>
      <c r="Z78" s="26">
        <f>Returns_data!X78</f>
        <v/>
      </c>
      <c r="AA78" s="26">
        <f>Returns_data!Y78</f>
        <v/>
      </c>
      <c r="AB78" s="26">
        <f>Returns_data!AA78</f>
        <v/>
      </c>
      <c r="AC78" s="26">
        <f>Returns_data!AB78</f>
        <v/>
      </c>
      <c r="AD78" s="26">
        <f>Returns_data!AD78</f>
        <v/>
      </c>
      <c r="AE78" s="26">
        <f>Returns_data!AE78</f>
        <v/>
      </c>
      <c r="AF78" s="26">
        <f>Returns_data!AF78</f>
        <v/>
      </c>
      <c r="AG78" s="26">
        <f>Returns_data!AG78</f>
        <v/>
      </c>
      <c r="AH78" s="26">
        <f>Returns_data!AH78</f>
        <v/>
      </c>
      <c r="AI78" s="26">
        <f>Returns_data!AI78</f>
        <v/>
      </c>
      <c r="AJ78" s="26">
        <f>Returns_data!AJ78</f>
        <v/>
      </c>
      <c r="AK78" s="26">
        <f>Returns_data!AK78</f>
        <v/>
      </c>
      <c r="AL78" s="26">
        <f>Returns_data!AL78</f>
        <v/>
      </c>
      <c r="AM78" s="26">
        <f>Returns_data!AM78</f>
        <v/>
      </c>
      <c r="AN78" s="26">
        <f>Returns_data!AN78</f>
        <v/>
      </c>
    </row>
    <row r="79">
      <c r="A79" s="24" t="inlineStr">
        <is>
          <t>2021-06-01</t>
        </is>
      </c>
      <c r="B79" s="26">
        <f>Returns_data!R79</f>
        <v/>
      </c>
      <c r="C79" s="26">
        <f>Returns_data!Z79</f>
        <v/>
      </c>
      <c r="D79" s="26">
        <f>Returns_data!C79</f>
        <v/>
      </c>
      <c r="E79" s="26">
        <f>Returns_data!D79</f>
        <v/>
      </c>
      <c r="F79" s="26">
        <f>Returns_data!AC79</f>
        <v/>
      </c>
      <c r="G79" s="26">
        <f>Returns_data!E79</f>
        <v/>
      </c>
      <c r="H79" s="26">
        <f>Returns_data!V79</f>
        <v/>
      </c>
      <c r="I79" s="26">
        <f>Returns_data!G79</f>
        <v/>
      </c>
      <c r="J79" s="26">
        <f>Returns_data!O79</f>
        <v/>
      </c>
      <c r="K79" s="26">
        <f>Returns_data!Q79</f>
        <v/>
      </c>
      <c r="L79" s="26">
        <f>Returns_data!H79</f>
        <v/>
      </c>
      <c r="M79" s="26">
        <f>Returns_data!K79</f>
        <v/>
      </c>
      <c r="N79" s="26">
        <f>Returns_data!B79</f>
        <v/>
      </c>
      <c r="O79" s="26">
        <f>Returns_data!F79</f>
        <v/>
      </c>
      <c r="P79" s="26">
        <f>Returns_data!I79</f>
        <v/>
      </c>
      <c r="Q79" s="26">
        <f>Returns_data!J79</f>
        <v/>
      </c>
      <c r="R79" s="26">
        <f>Returns_data!L79</f>
        <v/>
      </c>
      <c r="S79" s="26">
        <f>Returns_data!M79</f>
        <v/>
      </c>
      <c r="T79" s="26">
        <f>Returns_data!N79</f>
        <v/>
      </c>
      <c r="U79" s="26">
        <f>Returns_data!P79</f>
        <v/>
      </c>
      <c r="V79" s="26">
        <f>Returns_data!S79</f>
        <v/>
      </c>
      <c r="W79" s="26">
        <f>Returns_data!T79</f>
        <v/>
      </c>
      <c r="X79" s="26">
        <f>Returns_data!U79</f>
        <v/>
      </c>
      <c r="Y79" s="26">
        <f>Returns_data!W79</f>
        <v/>
      </c>
      <c r="Z79" s="26">
        <f>Returns_data!X79</f>
        <v/>
      </c>
      <c r="AA79" s="26">
        <f>Returns_data!Y79</f>
        <v/>
      </c>
      <c r="AB79" s="26">
        <f>Returns_data!AA79</f>
        <v/>
      </c>
      <c r="AC79" s="26">
        <f>Returns_data!AB79</f>
        <v/>
      </c>
      <c r="AD79" s="26">
        <f>Returns_data!AD79</f>
        <v/>
      </c>
      <c r="AE79" s="26">
        <f>Returns_data!AE79</f>
        <v/>
      </c>
      <c r="AF79" s="26">
        <f>Returns_data!AF79</f>
        <v/>
      </c>
      <c r="AG79" s="26">
        <f>Returns_data!AG79</f>
        <v/>
      </c>
      <c r="AH79" s="26">
        <f>Returns_data!AH79</f>
        <v/>
      </c>
      <c r="AI79" s="26">
        <f>Returns_data!AI79</f>
        <v/>
      </c>
      <c r="AJ79" s="26">
        <f>Returns_data!AJ79</f>
        <v/>
      </c>
      <c r="AK79" s="26">
        <f>Returns_data!AK79</f>
        <v/>
      </c>
      <c r="AL79" s="26">
        <f>Returns_data!AL79</f>
        <v/>
      </c>
      <c r="AM79" s="26">
        <f>Returns_data!AM79</f>
        <v/>
      </c>
      <c r="AN79" s="26">
        <f>Returns_data!AN79</f>
        <v/>
      </c>
    </row>
    <row r="80">
      <c r="A80" s="24" t="inlineStr">
        <is>
          <t>2021-07-01</t>
        </is>
      </c>
      <c r="B80" s="26">
        <f>Returns_data!R80</f>
        <v/>
      </c>
      <c r="C80" s="26">
        <f>Returns_data!Z80</f>
        <v/>
      </c>
      <c r="D80" s="26">
        <f>Returns_data!C80</f>
        <v/>
      </c>
      <c r="E80" s="26">
        <f>Returns_data!D80</f>
        <v/>
      </c>
      <c r="F80" s="26">
        <f>Returns_data!AC80</f>
        <v/>
      </c>
      <c r="G80" s="26">
        <f>Returns_data!E80</f>
        <v/>
      </c>
      <c r="H80" s="26">
        <f>Returns_data!V80</f>
        <v/>
      </c>
      <c r="I80" s="26">
        <f>Returns_data!G80</f>
        <v/>
      </c>
      <c r="J80" s="26">
        <f>Returns_data!O80</f>
        <v/>
      </c>
      <c r="K80" s="26">
        <f>Returns_data!Q80</f>
        <v/>
      </c>
      <c r="L80" s="26">
        <f>Returns_data!H80</f>
        <v/>
      </c>
      <c r="M80" s="26">
        <f>Returns_data!K80</f>
        <v/>
      </c>
      <c r="N80" s="26">
        <f>Returns_data!B80</f>
        <v/>
      </c>
      <c r="O80" s="26">
        <f>Returns_data!F80</f>
        <v/>
      </c>
      <c r="P80" s="26">
        <f>Returns_data!I80</f>
        <v/>
      </c>
      <c r="Q80" s="26">
        <f>Returns_data!J80</f>
        <v/>
      </c>
      <c r="R80" s="26">
        <f>Returns_data!L80</f>
        <v/>
      </c>
      <c r="S80" s="26">
        <f>Returns_data!M80</f>
        <v/>
      </c>
      <c r="T80" s="26">
        <f>Returns_data!N80</f>
        <v/>
      </c>
      <c r="U80" s="26">
        <f>Returns_data!P80</f>
        <v/>
      </c>
      <c r="V80" s="26">
        <f>Returns_data!S80</f>
        <v/>
      </c>
      <c r="W80" s="26">
        <f>Returns_data!T80</f>
        <v/>
      </c>
      <c r="X80" s="26">
        <f>Returns_data!U80</f>
        <v/>
      </c>
      <c r="Y80" s="26">
        <f>Returns_data!W80</f>
        <v/>
      </c>
      <c r="Z80" s="26">
        <f>Returns_data!X80</f>
        <v/>
      </c>
      <c r="AA80" s="26">
        <f>Returns_data!Y80</f>
        <v/>
      </c>
      <c r="AB80" s="26">
        <f>Returns_data!AA80</f>
        <v/>
      </c>
      <c r="AC80" s="26">
        <f>Returns_data!AB80</f>
        <v/>
      </c>
      <c r="AD80" s="26">
        <f>Returns_data!AD80</f>
        <v/>
      </c>
      <c r="AE80" s="26">
        <f>Returns_data!AE80</f>
        <v/>
      </c>
      <c r="AF80" s="26">
        <f>Returns_data!AF80</f>
        <v/>
      </c>
      <c r="AG80" s="26">
        <f>Returns_data!AG80</f>
        <v/>
      </c>
      <c r="AH80" s="26">
        <f>Returns_data!AH80</f>
        <v/>
      </c>
      <c r="AI80" s="26">
        <f>Returns_data!AI80</f>
        <v/>
      </c>
      <c r="AJ80" s="26">
        <f>Returns_data!AJ80</f>
        <v/>
      </c>
      <c r="AK80" s="26">
        <f>Returns_data!AK80</f>
        <v/>
      </c>
      <c r="AL80" s="26">
        <f>Returns_data!AL80</f>
        <v/>
      </c>
      <c r="AM80" s="26">
        <f>Returns_data!AM80</f>
        <v/>
      </c>
      <c r="AN80" s="26">
        <f>Returns_data!AN80</f>
        <v/>
      </c>
    </row>
    <row r="81">
      <c r="A81" s="24" t="inlineStr">
        <is>
          <t>2021-08-01</t>
        </is>
      </c>
      <c r="B81" s="26">
        <f>Returns_data!R81</f>
        <v/>
      </c>
      <c r="C81" s="26">
        <f>Returns_data!Z81</f>
        <v/>
      </c>
      <c r="D81" s="26">
        <f>Returns_data!C81</f>
        <v/>
      </c>
      <c r="E81" s="26">
        <f>Returns_data!D81</f>
        <v/>
      </c>
      <c r="F81" s="26">
        <f>Returns_data!AC81</f>
        <v/>
      </c>
      <c r="G81" s="26">
        <f>Returns_data!E81</f>
        <v/>
      </c>
      <c r="H81" s="26">
        <f>Returns_data!V81</f>
        <v/>
      </c>
      <c r="I81" s="26">
        <f>Returns_data!G81</f>
        <v/>
      </c>
      <c r="J81" s="26">
        <f>Returns_data!O81</f>
        <v/>
      </c>
      <c r="K81" s="26">
        <f>Returns_data!Q81</f>
        <v/>
      </c>
      <c r="L81" s="26">
        <f>Returns_data!H81</f>
        <v/>
      </c>
      <c r="M81" s="26">
        <f>Returns_data!K81</f>
        <v/>
      </c>
      <c r="N81" s="26">
        <f>Returns_data!B81</f>
        <v/>
      </c>
      <c r="O81" s="26">
        <f>Returns_data!F81</f>
        <v/>
      </c>
      <c r="P81" s="26">
        <f>Returns_data!I81</f>
        <v/>
      </c>
      <c r="Q81" s="26">
        <f>Returns_data!J81</f>
        <v/>
      </c>
      <c r="R81" s="26">
        <f>Returns_data!L81</f>
        <v/>
      </c>
      <c r="S81" s="26">
        <f>Returns_data!M81</f>
        <v/>
      </c>
      <c r="T81" s="26">
        <f>Returns_data!N81</f>
        <v/>
      </c>
      <c r="U81" s="26">
        <f>Returns_data!P81</f>
        <v/>
      </c>
      <c r="V81" s="26">
        <f>Returns_data!S81</f>
        <v/>
      </c>
      <c r="W81" s="26">
        <f>Returns_data!T81</f>
        <v/>
      </c>
      <c r="X81" s="26">
        <f>Returns_data!U81</f>
        <v/>
      </c>
      <c r="Y81" s="26">
        <f>Returns_data!W81</f>
        <v/>
      </c>
      <c r="Z81" s="26">
        <f>Returns_data!X81</f>
        <v/>
      </c>
      <c r="AA81" s="26">
        <f>Returns_data!Y81</f>
        <v/>
      </c>
      <c r="AB81" s="26">
        <f>Returns_data!AA81</f>
        <v/>
      </c>
      <c r="AC81" s="26">
        <f>Returns_data!AB81</f>
        <v/>
      </c>
      <c r="AD81" s="26">
        <f>Returns_data!AD81</f>
        <v/>
      </c>
      <c r="AE81" s="26">
        <f>Returns_data!AE81</f>
        <v/>
      </c>
      <c r="AF81" s="26">
        <f>Returns_data!AF81</f>
        <v/>
      </c>
      <c r="AG81" s="26">
        <f>Returns_data!AG81</f>
        <v/>
      </c>
      <c r="AH81" s="26">
        <f>Returns_data!AH81</f>
        <v/>
      </c>
      <c r="AI81" s="26">
        <f>Returns_data!AI81</f>
        <v/>
      </c>
      <c r="AJ81" s="26">
        <f>Returns_data!AJ81</f>
        <v/>
      </c>
      <c r="AK81" s="26">
        <f>Returns_data!AK81</f>
        <v/>
      </c>
      <c r="AL81" s="26">
        <f>Returns_data!AL81</f>
        <v/>
      </c>
      <c r="AM81" s="26">
        <f>Returns_data!AM81</f>
        <v/>
      </c>
      <c r="AN81" s="26">
        <f>Returns_data!AN81</f>
        <v/>
      </c>
    </row>
    <row r="82">
      <c r="A82" s="24" t="inlineStr">
        <is>
          <t>2021-09-01</t>
        </is>
      </c>
      <c r="B82" s="26">
        <f>Returns_data!R82</f>
        <v/>
      </c>
      <c r="C82" s="26">
        <f>Returns_data!Z82</f>
        <v/>
      </c>
      <c r="D82" s="26">
        <f>Returns_data!C82</f>
        <v/>
      </c>
      <c r="E82" s="26">
        <f>Returns_data!D82</f>
        <v/>
      </c>
      <c r="F82" s="26">
        <f>Returns_data!AC82</f>
        <v/>
      </c>
      <c r="G82" s="26">
        <f>Returns_data!E82</f>
        <v/>
      </c>
      <c r="H82" s="26">
        <f>Returns_data!V82</f>
        <v/>
      </c>
      <c r="I82" s="26">
        <f>Returns_data!G82</f>
        <v/>
      </c>
      <c r="J82" s="26">
        <f>Returns_data!O82</f>
        <v/>
      </c>
      <c r="K82" s="26">
        <f>Returns_data!Q82</f>
        <v/>
      </c>
      <c r="L82" s="26">
        <f>Returns_data!H82</f>
        <v/>
      </c>
      <c r="M82" s="26">
        <f>Returns_data!K82</f>
        <v/>
      </c>
      <c r="N82" s="26">
        <f>Returns_data!B82</f>
        <v/>
      </c>
      <c r="O82" s="26">
        <f>Returns_data!F82</f>
        <v/>
      </c>
      <c r="P82" s="26">
        <f>Returns_data!I82</f>
        <v/>
      </c>
      <c r="Q82" s="26">
        <f>Returns_data!J82</f>
        <v/>
      </c>
      <c r="R82" s="26">
        <f>Returns_data!L82</f>
        <v/>
      </c>
      <c r="S82" s="26">
        <f>Returns_data!M82</f>
        <v/>
      </c>
      <c r="T82" s="26">
        <f>Returns_data!N82</f>
        <v/>
      </c>
      <c r="U82" s="26">
        <f>Returns_data!P82</f>
        <v/>
      </c>
      <c r="V82" s="26">
        <f>Returns_data!S82</f>
        <v/>
      </c>
      <c r="W82" s="26">
        <f>Returns_data!T82</f>
        <v/>
      </c>
      <c r="X82" s="26">
        <f>Returns_data!U82</f>
        <v/>
      </c>
      <c r="Y82" s="26">
        <f>Returns_data!W82</f>
        <v/>
      </c>
      <c r="Z82" s="26">
        <f>Returns_data!X82</f>
        <v/>
      </c>
      <c r="AA82" s="26">
        <f>Returns_data!Y82</f>
        <v/>
      </c>
      <c r="AB82" s="26">
        <f>Returns_data!AA82</f>
        <v/>
      </c>
      <c r="AC82" s="26">
        <f>Returns_data!AB82</f>
        <v/>
      </c>
      <c r="AD82" s="26">
        <f>Returns_data!AD82</f>
        <v/>
      </c>
      <c r="AE82" s="26">
        <f>Returns_data!AE82</f>
        <v/>
      </c>
      <c r="AF82" s="26">
        <f>Returns_data!AF82</f>
        <v/>
      </c>
      <c r="AG82" s="26">
        <f>Returns_data!AG82</f>
        <v/>
      </c>
      <c r="AH82" s="26">
        <f>Returns_data!AH82</f>
        <v/>
      </c>
      <c r="AI82" s="26">
        <f>Returns_data!AI82</f>
        <v/>
      </c>
      <c r="AJ82" s="26">
        <f>Returns_data!AJ82</f>
        <v/>
      </c>
      <c r="AK82" s="26">
        <f>Returns_data!AK82</f>
        <v/>
      </c>
      <c r="AL82" s="26">
        <f>Returns_data!AL82</f>
        <v/>
      </c>
      <c r="AM82" s="26">
        <f>Returns_data!AM82</f>
        <v/>
      </c>
      <c r="AN82" s="26">
        <f>Returns_data!AN82</f>
        <v/>
      </c>
    </row>
    <row r="83">
      <c r="A83" s="24" t="inlineStr">
        <is>
          <t>2021-10-01</t>
        </is>
      </c>
      <c r="B83" s="26">
        <f>Returns_data!R83</f>
        <v/>
      </c>
      <c r="C83" s="26">
        <f>Returns_data!Z83</f>
        <v/>
      </c>
      <c r="D83" s="26">
        <f>Returns_data!C83</f>
        <v/>
      </c>
      <c r="E83" s="26">
        <f>Returns_data!D83</f>
        <v/>
      </c>
      <c r="F83" s="26">
        <f>Returns_data!AC83</f>
        <v/>
      </c>
      <c r="G83" s="26">
        <f>Returns_data!E83</f>
        <v/>
      </c>
      <c r="H83" s="26">
        <f>Returns_data!V83</f>
        <v/>
      </c>
      <c r="I83" s="26">
        <f>Returns_data!G83</f>
        <v/>
      </c>
      <c r="J83" s="26">
        <f>Returns_data!O83</f>
        <v/>
      </c>
      <c r="K83" s="26">
        <f>Returns_data!Q83</f>
        <v/>
      </c>
      <c r="L83" s="26">
        <f>Returns_data!H83</f>
        <v/>
      </c>
      <c r="M83" s="26">
        <f>Returns_data!K83</f>
        <v/>
      </c>
      <c r="N83" s="26">
        <f>Returns_data!B83</f>
        <v/>
      </c>
      <c r="O83" s="26">
        <f>Returns_data!F83</f>
        <v/>
      </c>
      <c r="P83" s="26">
        <f>Returns_data!I83</f>
        <v/>
      </c>
      <c r="Q83" s="26">
        <f>Returns_data!J83</f>
        <v/>
      </c>
      <c r="R83" s="26">
        <f>Returns_data!L83</f>
        <v/>
      </c>
      <c r="S83" s="26">
        <f>Returns_data!M83</f>
        <v/>
      </c>
      <c r="T83" s="26">
        <f>Returns_data!N83</f>
        <v/>
      </c>
      <c r="U83" s="26">
        <f>Returns_data!P83</f>
        <v/>
      </c>
      <c r="V83" s="26">
        <f>Returns_data!S83</f>
        <v/>
      </c>
      <c r="W83" s="26">
        <f>Returns_data!T83</f>
        <v/>
      </c>
      <c r="X83" s="26">
        <f>Returns_data!U83</f>
        <v/>
      </c>
      <c r="Y83" s="26">
        <f>Returns_data!W83</f>
        <v/>
      </c>
      <c r="Z83" s="26">
        <f>Returns_data!X83</f>
        <v/>
      </c>
      <c r="AA83" s="26">
        <f>Returns_data!Y83</f>
        <v/>
      </c>
      <c r="AB83" s="26">
        <f>Returns_data!AA83</f>
        <v/>
      </c>
      <c r="AC83" s="26">
        <f>Returns_data!AB83</f>
        <v/>
      </c>
      <c r="AD83" s="26">
        <f>Returns_data!AD83</f>
        <v/>
      </c>
      <c r="AE83" s="26">
        <f>Returns_data!AE83</f>
        <v/>
      </c>
      <c r="AF83" s="26">
        <f>Returns_data!AF83</f>
        <v/>
      </c>
      <c r="AG83" s="26">
        <f>Returns_data!AG83</f>
        <v/>
      </c>
      <c r="AH83" s="26">
        <f>Returns_data!AH83</f>
        <v/>
      </c>
      <c r="AI83" s="26">
        <f>Returns_data!AI83</f>
        <v/>
      </c>
      <c r="AJ83" s="26">
        <f>Returns_data!AJ83</f>
        <v/>
      </c>
      <c r="AK83" s="26">
        <f>Returns_data!AK83</f>
        <v/>
      </c>
      <c r="AL83" s="26">
        <f>Returns_data!AL83</f>
        <v/>
      </c>
      <c r="AM83" s="26">
        <f>Returns_data!AM83</f>
        <v/>
      </c>
      <c r="AN83" s="26">
        <f>Returns_data!AN83</f>
        <v/>
      </c>
    </row>
    <row r="84">
      <c r="A84" s="24" t="inlineStr">
        <is>
          <t>2021-11-01</t>
        </is>
      </c>
      <c r="B84" s="26">
        <f>Returns_data!R84</f>
        <v/>
      </c>
      <c r="C84" s="26">
        <f>Returns_data!Z84</f>
        <v/>
      </c>
      <c r="D84" s="26">
        <f>Returns_data!C84</f>
        <v/>
      </c>
      <c r="E84" s="26">
        <f>Returns_data!D84</f>
        <v/>
      </c>
      <c r="F84" s="26">
        <f>Returns_data!AC84</f>
        <v/>
      </c>
      <c r="G84" s="26">
        <f>Returns_data!E84</f>
        <v/>
      </c>
      <c r="H84" s="26">
        <f>Returns_data!V84</f>
        <v/>
      </c>
      <c r="I84" s="26">
        <f>Returns_data!G84</f>
        <v/>
      </c>
      <c r="J84" s="26">
        <f>Returns_data!O84</f>
        <v/>
      </c>
      <c r="K84" s="26">
        <f>Returns_data!Q84</f>
        <v/>
      </c>
      <c r="L84" s="26">
        <f>Returns_data!H84</f>
        <v/>
      </c>
      <c r="M84" s="26">
        <f>Returns_data!K84</f>
        <v/>
      </c>
      <c r="N84" s="26">
        <f>Returns_data!B84</f>
        <v/>
      </c>
      <c r="O84" s="26">
        <f>Returns_data!F84</f>
        <v/>
      </c>
      <c r="P84" s="26">
        <f>Returns_data!I84</f>
        <v/>
      </c>
      <c r="Q84" s="26">
        <f>Returns_data!J84</f>
        <v/>
      </c>
      <c r="R84" s="26">
        <f>Returns_data!L84</f>
        <v/>
      </c>
      <c r="S84" s="26">
        <f>Returns_data!M84</f>
        <v/>
      </c>
      <c r="T84" s="26">
        <f>Returns_data!N84</f>
        <v/>
      </c>
      <c r="U84" s="26">
        <f>Returns_data!P84</f>
        <v/>
      </c>
      <c r="V84" s="26">
        <f>Returns_data!S84</f>
        <v/>
      </c>
      <c r="W84" s="26">
        <f>Returns_data!T84</f>
        <v/>
      </c>
      <c r="X84" s="26">
        <f>Returns_data!U84</f>
        <v/>
      </c>
      <c r="Y84" s="26">
        <f>Returns_data!W84</f>
        <v/>
      </c>
      <c r="Z84" s="26">
        <f>Returns_data!X84</f>
        <v/>
      </c>
      <c r="AA84" s="26">
        <f>Returns_data!Y84</f>
        <v/>
      </c>
      <c r="AB84" s="26">
        <f>Returns_data!AA84</f>
        <v/>
      </c>
      <c r="AC84" s="26">
        <f>Returns_data!AB84</f>
        <v/>
      </c>
      <c r="AD84" s="26">
        <f>Returns_data!AD84</f>
        <v/>
      </c>
      <c r="AE84" s="26">
        <f>Returns_data!AE84</f>
        <v/>
      </c>
      <c r="AF84" s="26">
        <f>Returns_data!AF84</f>
        <v/>
      </c>
      <c r="AG84" s="26">
        <f>Returns_data!AG84</f>
        <v/>
      </c>
      <c r="AH84" s="26">
        <f>Returns_data!AH84</f>
        <v/>
      </c>
      <c r="AI84" s="26">
        <f>Returns_data!AI84</f>
        <v/>
      </c>
      <c r="AJ84" s="26">
        <f>Returns_data!AJ84</f>
        <v/>
      </c>
      <c r="AK84" s="26">
        <f>Returns_data!AK84</f>
        <v/>
      </c>
      <c r="AL84" s="26">
        <f>Returns_data!AL84</f>
        <v/>
      </c>
      <c r="AM84" s="26">
        <f>Returns_data!AM84</f>
        <v/>
      </c>
      <c r="AN84" s="26">
        <f>Returns_data!AN84</f>
        <v/>
      </c>
    </row>
    <row r="85">
      <c r="A85" s="24" t="inlineStr">
        <is>
          <t>2021-12-01</t>
        </is>
      </c>
      <c r="B85" s="26">
        <f>Returns_data!R85</f>
        <v/>
      </c>
      <c r="C85" s="26">
        <f>Returns_data!Z85</f>
        <v/>
      </c>
      <c r="D85" s="26">
        <f>Returns_data!C85</f>
        <v/>
      </c>
      <c r="E85" s="26">
        <f>Returns_data!D85</f>
        <v/>
      </c>
      <c r="F85" s="26">
        <f>Returns_data!AC85</f>
        <v/>
      </c>
      <c r="G85" s="26">
        <f>Returns_data!E85</f>
        <v/>
      </c>
      <c r="H85" s="26">
        <f>Returns_data!V85</f>
        <v/>
      </c>
      <c r="I85" s="26">
        <f>Returns_data!G85</f>
        <v/>
      </c>
      <c r="J85" s="26">
        <f>Returns_data!O85</f>
        <v/>
      </c>
      <c r="K85" s="26">
        <f>Returns_data!Q85</f>
        <v/>
      </c>
      <c r="L85" s="26">
        <f>Returns_data!H85</f>
        <v/>
      </c>
      <c r="M85" s="26">
        <f>Returns_data!K85</f>
        <v/>
      </c>
      <c r="N85" s="26">
        <f>Returns_data!B85</f>
        <v/>
      </c>
      <c r="O85" s="26">
        <f>Returns_data!F85</f>
        <v/>
      </c>
      <c r="P85" s="26">
        <f>Returns_data!I85</f>
        <v/>
      </c>
      <c r="Q85" s="26">
        <f>Returns_data!J85</f>
        <v/>
      </c>
      <c r="R85" s="26">
        <f>Returns_data!L85</f>
        <v/>
      </c>
      <c r="S85" s="26">
        <f>Returns_data!M85</f>
        <v/>
      </c>
      <c r="T85" s="26">
        <f>Returns_data!N85</f>
        <v/>
      </c>
      <c r="U85" s="26">
        <f>Returns_data!P85</f>
        <v/>
      </c>
      <c r="V85" s="26">
        <f>Returns_data!S85</f>
        <v/>
      </c>
      <c r="W85" s="26">
        <f>Returns_data!T85</f>
        <v/>
      </c>
      <c r="X85" s="26">
        <f>Returns_data!U85</f>
        <v/>
      </c>
      <c r="Y85" s="26">
        <f>Returns_data!W85</f>
        <v/>
      </c>
      <c r="Z85" s="26">
        <f>Returns_data!X85</f>
        <v/>
      </c>
      <c r="AA85" s="26">
        <f>Returns_data!Y85</f>
        <v/>
      </c>
      <c r="AB85" s="26">
        <f>Returns_data!AA85</f>
        <v/>
      </c>
      <c r="AC85" s="26">
        <f>Returns_data!AB85</f>
        <v/>
      </c>
      <c r="AD85" s="26">
        <f>Returns_data!AD85</f>
        <v/>
      </c>
      <c r="AE85" s="26">
        <f>Returns_data!AE85</f>
        <v/>
      </c>
      <c r="AF85" s="26">
        <f>Returns_data!AF85</f>
        <v/>
      </c>
      <c r="AG85" s="26">
        <f>Returns_data!AG85</f>
        <v/>
      </c>
      <c r="AH85" s="26">
        <f>Returns_data!AH85</f>
        <v/>
      </c>
      <c r="AI85" s="26">
        <f>Returns_data!AI85</f>
        <v/>
      </c>
      <c r="AJ85" s="26">
        <f>Returns_data!AJ85</f>
        <v/>
      </c>
      <c r="AK85" s="26">
        <f>Returns_data!AK85</f>
        <v/>
      </c>
      <c r="AL85" s="26">
        <f>Returns_data!AL85</f>
        <v/>
      </c>
      <c r="AM85" s="26">
        <f>Returns_data!AM85</f>
        <v/>
      </c>
      <c r="AN85" s="26">
        <f>Returns_data!AN85</f>
        <v/>
      </c>
    </row>
    <row r="86">
      <c r="A86" s="24" t="inlineStr">
        <is>
          <t>2022-01-01</t>
        </is>
      </c>
      <c r="B86" s="26">
        <f>Returns_data!R86</f>
        <v/>
      </c>
      <c r="C86" s="26">
        <f>Returns_data!Z86</f>
        <v/>
      </c>
      <c r="D86" s="26">
        <f>Returns_data!C86</f>
        <v/>
      </c>
      <c r="E86" s="26">
        <f>Returns_data!D86</f>
        <v/>
      </c>
      <c r="F86" s="26">
        <f>Returns_data!AC86</f>
        <v/>
      </c>
      <c r="G86" s="26">
        <f>Returns_data!E86</f>
        <v/>
      </c>
      <c r="H86" s="26">
        <f>Returns_data!V86</f>
        <v/>
      </c>
      <c r="I86" s="26">
        <f>Returns_data!G86</f>
        <v/>
      </c>
      <c r="J86" s="26">
        <f>Returns_data!O86</f>
        <v/>
      </c>
      <c r="K86" s="26">
        <f>Returns_data!Q86</f>
        <v/>
      </c>
      <c r="L86" s="26">
        <f>Returns_data!H86</f>
        <v/>
      </c>
      <c r="M86" s="26">
        <f>Returns_data!K86</f>
        <v/>
      </c>
      <c r="N86" s="26">
        <f>Returns_data!B86</f>
        <v/>
      </c>
      <c r="O86" s="26">
        <f>Returns_data!F86</f>
        <v/>
      </c>
      <c r="P86" s="26">
        <f>Returns_data!I86</f>
        <v/>
      </c>
      <c r="Q86" s="26">
        <f>Returns_data!J86</f>
        <v/>
      </c>
      <c r="R86" s="26">
        <f>Returns_data!L86</f>
        <v/>
      </c>
      <c r="S86" s="26">
        <f>Returns_data!M86</f>
        <v/>
      </c>
      <c r="T86" s="26">
        <f>Returns_data!N86</f>
        <v/>
      </c>
      <c r="U86" s="26">
        <f>Returns_data!P86</f>
        <v/>
      </c>
      <c r="V86" s="26">
        <f>Returns_data!S86</f>
        <v/>
      </c>
      <c r="W86" s="26">
        <f>Returns_data!T86</f>
        <v/>
      </c>
      <c r="X86" s="26">
        <f>Returns_data!U86</f>
        <v/>
      </c>
      <c r="Y86" s="26">
        <f>Returns_data!W86</f>
        <v/>
      </c>
      <c r="Z86" s="26">
        <f>Returns_data!X86</f>
        <v/>
      </c>
      <c r="AA86" s="26">
        <f>Returns_data!Y86</f>
        <v/>
      </c>
      <c r="AB86" s="26">
        <f>Returns_data!AA86</f>
        <v/>
      </c>
      <c r="AC86" s="26">
        <f>Returns_data!AB86</f>
        <v/>
      </c>
      <c r="AD86" s="26">
        <f>Returns_data!AD86</f>
        <v/>
      </c>
      <c r="AE86" s="26">
        <f>Returns_data!AE86</f>
        <v/>
      </c>
      <c r="AF86" s="26">
        <f>Returns_data!AF86</f>
        <v/>
      </c>
      <c r="AG86" s="26">
        <f>Returns_data!AG86</f>
        <v/>
      </c>
      <c r="AH86" s="26">
        <f>Returns_data!AH86</f>
        <v/>
      </c>
      <c r="AI86" s="26">
        <f>Returns_data!AI86</f>
        <v/>
      </c>
      <c r="AJ86" s="26">
        <f>Returns_data!AJ86</f>
        <v/>
      </c>
      <c r="AK86" s="26">
        <f>Returns_data!AK86</f>
        <v/>
      </c>
      <c r="AL86" s="26">
        <f>Returns_data!AL86</f>
        <v/>
      </c>
      <c r="AM86" s="26">
        <f>Returns_data!AM86</f>
        <v/>
      </c>
      <c r="AN86" s="26">
        <f>Returns_data!AN86</f>
        <v/>
      </c>
    </row>
    <row r="87">
      <c r="A87" s="24" t="inlineStr">
        <is>
          <t>2022-02-01</t>
        </is>
      </c>
      <c r="B87" s="26">
        <f>Returns_data!R87</f>
        <v/>
      </c>
      <c r="C87" s="26">
        <f>Returns_data!Z87</f>
        <v/>
      </c>
      <c r="D87" s="26">
        <f>Returns_data!C87</f>
        <v/>
      </c>
      <c r="E87" s="26">
        <f>Returns_data!D87</f>
        <v/>
      </c>
      <c r="F87" s="26">
        <f>Returns_data!AC87</f>
        <v/>
      </c>
      <c r="G87" s="26">
        <f>Returns_data!E87</f>
        <v/>
      </c>
      <c r="H87" s="26">
        <f>Returns_data!V87</f>
        <v/>
      </c>
      <c r="I87" s="26">
        <f>Returns_data!G87</f>
        <v/>
      </c>
      <c r="J87" s="26">
        <f>Returns_data!O87</f>
        <v/>
      </c>
      <c r="K87" s="26">
        <f>Returns_data!Q87</f>
        <v/>
      </c>
      <c r="L87" s="26">
        <f>Returns_data!H87</f>
        <v/>
      </c>
      <c r="M87" s="26">
        <f>Returns_data!K87</f>
        <v/>
      </c>
      <c r="N87" s="26">
        <f>Returns_data!B87</f>
        <v/>
      </c>
      <c r="O87" s="26">
        <f>Returns_data!F87</f>
        <v/>
      </c>
      <c r="P87" s="26">
        <f>Returns_data!I87</f>
        <v/>
      </c>
      <c r="Q87" s="26">
        <f>Returns_data!J87</f>
        <v/>
      </c>
      <c r="R87" s="26">
        <f>Returns_data!L87</f>
        <v/>
      </c>
      <c r="S87" s="26">
        <f>Returns_data!M87</f>
        <v/>
      </c>
      <c r="T87" s="26">
        <f>Returns_data!N87</f>
        <v/>
      </c>
      <c r="U87" s="26">
        <f>Returns_data!P87</f>
        <v/>
      </c>
      <c r="V87" s="26">
        <f>Returns_data!S87</f>
        <v/>
      </c>
      <c r="W87" s="26">
        <f>Returns_data!T87</f>
        <v/>
      </c>
      <c r="X87" s="26">
        <f>Returns_data!U87</f>
        <v/>
      </c>
      <c r="Y87" s="26">
        <f>Returns_data!W87</f>
        <v/>
      </c>
      <c r="Z87" s="26">
        <f>Returns_data!X87</f>
        <v/>
      </c>
      <c r="AA87" s="26">
        <f>Returns_data!Y87</f>
        <v/>
      </c>
      <c r="AB87" s="26">
        <f>Returns_data!AA87</f>
        <v/>
      </c>
      <c r="AC87" s="26">
        <f>Returns_data!AB87</f>
        <v/>
      </c>
      <c r="AD87" s="26">
        <f>Returns_data!AD87</f>
        <v/>
      </c>
      <c r="AE87" s="26">
        <f>Returns_data!AE87</f>
        <v/>
      </c>
      <c r="AF87" s="26">
        <f>Returns_data!AF87</f>
        <v/>
      </c>
      <c r="AG87" s="26">
        <f>Returns_data!AG87</f>
        <v/>
      </c>
      <c r="AH87" s="26">
        <f>Returns_data!AH87</f>
        <v/>
      </c>
      <c r="AI87" s="26">
        <f>Returns_data!AI87</f>
        <v/>
      </c>
      <c r="AJ87" s="26">
        <f>Returns_data!AJ87</f>
        <v/>
      </c>
      <c r="AK87" s="26">
        <f>Returns_data!AK87</f>
        <v/>
      </c>
      <c r="AL87" s="26">
        <f>Returns_data!AL87</f>
        <v/>
      </c>
      <c r="AM87" s="26">
        <f>Returns_data!AM87</f>
        <v/>
      </c>
      <c r="AN87" s="26">
        <f>Returns_data!AN87</f>
        <v/>
      </c>
    </row>
    <row r="88">
      <c r="A88" s="24" t="inlineStr">
        <is>
          <t>2022-03-01</t>
        </is>
      </c>
      <c r="B88" s="26">
        <f>Returns_data!R88</f>
        <v/>
      </c>
      <c r="C88" s="26">
        <f>Returns_data!Z88</f>
        <v/>
      </c>
      <c r="D88" s="26">
        <f>Returns_data!C88</f>
        <v/>
      </c>
      <c r="E88" s="26">
        <f>Returns_data!D88</f>
        <v/>
      </c>
      <c r="F88" s="26">
        <f>Returns_data!AC88</f>
        <v/>
      </c>
      <c r="G88" s="26">
        <f>Returns_data!E88</f>
        <v/>
      </c>
      <c r="H88" s="26">
        <f>Returns_data!V88</f>
        <v/>
      </c>
      <c r="I88" s="26">
        <f>Returns_data!G88</f>
        <v/>
      </c>
      <c r="J88" s="26">
        <f>Returns_data!O88</f>
        <v/>
      </c>
      <c r="K88" s="26">
        <f>Returns_data!Q88</f>
        <v/>
      </c>
      <c r="L88" s="26">
        <f>Returns_data!H88</f>
        <v/>
      </c>
      <c r="M88" s="26">
        <f>Returns_data!K88</f>
        <v/>
      </c>
      <c r="N88" s="26">
        <f>Returns_data!B88</f>
        <v/>
      </c>
      <c r="O88" s="26">
        <f>Returns_data!F88</f>
        <v/>
      </c>
      <c r="P88" s="26">
        <f>Returns_data!I88</f>
        <v/>
      </c>
      <c r="Q88" s="26">
        <f>Returns_data!J88</f>
        <v/>
      </c>
      <c r="R88" s="26">
        <f>Returns_data!L88</f>
        <v/>
      </c>
      <c r="S88" s="26">
        <f>Returns_data!M88</f>
        <v/>
      </c>
      <c r="T88" s="26">
        <f>Returns_data!N88</f>
        <v/>
      </c>
      <c r="U88" s="26">
        <f>Returns_data!P88</f>
        <v/>
      </c>
      <c r="V88" s="26">
        <f>Returns_data!S88</f>
        <v/>
      </c>
      <c r="W88" s="26">
        <f>Returns_data!T88</f>
        <v/>
      </c>
      <c r="X88" s="26">
        <f>Returns_data!U88</f>
        <v/>
      </c>
      <c r="Y88" s="26">
        <f>Returns_data!W88</f>
        <v/>
      </c>
      <c r="Z88" s="26">
        <f>Returns_data!X88</f>
        <v/>
      </c>
      <c r="AA88" s="26">
        <f>Returns_data!Y88</f>
        <v/>
      </c>
      <c r="AB88" s="26">
        <f>Returns_data!AA88</f>
        <v/>
      </c>
      <c r="AC88" s="26">
        <f>Returns_data!AB88</f>
        <v/>
      </c>
      <c r="AD88" s="26">
        <f>Returns_data!AD88</f>
        <v/>
      </c>
      <c r="AE88" s="26">
        <f>Returns_data!AE88</f>
        <v/>
      </c>
      <c r="AF88" s="26">
        <f>Returns_data!AF88</f>
        <v/>
      </c>
      <c r="AG88" s="26">
        <f>Returns_data!AG88</f>
        <v/>
      </c>
      <c r="AH88" s="26">
        <f>Returns_data!AH88</f>
        <v/>
      </c>
      <c r="AI88" s="26">
        <f>Returns_data!AI88</f>
        <v/>
      </c>
      <c r="AJ88" s="26">
        <f>Returns_data!AJ88</f>
        <v/>
      </c>
      <c r="AK88" s="26">
        <f>Returns_data!AK88</f>
        <v/>
      </c>
      <c r="AL88" s="26">
        <f>Returns_data!AL88</f>
        <v/>
      </c>
      <c r="AM88" s="26">
        <f>Returns_data!AM88</f>
        <v/>
      </c>
      <c r="AN88" s="26">
        <f>Returns_data!AN88</f>
        <v/>
      </c>
    </row>
    <row r="89">
      <c r="A89" s="24" t="inlineStr">
        <is>
          <t>2022-04-01</t>
        </is>
      </c>
      <c r="B89" s="26">
        <f>Returns_data!R89</f>
        <v/>
      </c>
      <c r="C89" s="26">
        <f>Returns_data!Z89</f>
        <v/>
      </c>
      <c r="D89" s="26">
        <f>Returns_data!C89</f>
        <v/>
      </c>
      <c r="E89" s="26">
        <f>Returns_data!D89</f>
        <v/>
      </c>
      <c r="F89" s="26">
        <f>Returns_data!AC89</f>
        <v/>
      </c>
      <c r="G89" s="26">
        <f>Returns_data!E89</f>
        <v/>
      </c>
      <c r="H89" s="26">
        <f>Returns_data!V89</f>
        <v/>
      </c>
      <c r="I89" s="26">
        <f>Returns_data!G89</f>
        <v/>
      </c>
      <c r="J89" s="26">
        <f>Returns_data!O89</f>
        <v/>
      </c>
      <c r="K89" s="26">
        <f>Returns_data!Q89</f>
        <v/>
      </c>
      <c r="L89" s="26">
        <f>Returns_data!H89</f>
        <v/>
      </c>
      <c r="M89" s="26">
        <f>Returns_data!K89</f>
        <v/>
      </c>
      <c r="N89" s="26">
        <f>Returns_data!B89</f>
        <v/>
      </c>
      <c r="O89" s="26">
        <f>Returns_data!F89</f>
        <v/>
      </c>
      <c r="P89" s="26">
        <f>Returns_data!I89</f>
        <v/>
      </c>
      <c r="Q89" s="26">
        <f>Returns_data!J89</f>
        <v/>
      </c>
      <c r="R89" s="26">
        <f>Returns_data!L89</f>
        <v/>
      </c>
      <c r="S89" s="26">
        <f>Returns_data!M89</f>
        <v/>
      </c>
      <c r="T89" s="26">
        <f>Returns_data!N89</f>
        <v/>
      </c>
      <c r="U89" s="26">
        <f>Returns_data!P89</f>
        <v/>
      </c>
      <c r="V89" s="26">
        <f>Returns_data!S89</f>
        <v/>
      </c>
      <c r="W89" s="26">
        <f>Returns_data!T89</f>
        <v/>
      </c>
      <c r="X89" s="26">
        <f>Returns_data!U89</f>
        <v/>
      </c>
      <c r="Y89" s="26">
        <f>Returns_data!W89</f>
        <v/>
      </c>
      <c r="Z89" s="26">
        <f>Returns_data!X89</f>
        <v/>
      </c>
      <c r="AA89" s="26">
        <f>Returns_data!Y89</f>
        <v/>
      </c>
      <c r="AB89" s="26">
        <f>Returns_data!AA89</f>
        <v/>
      </c>
      <c r="AC89" s="26">
        <f>Returns_data!AB89</f>
        <v/>
      </c>
      <c r="AD89" s="26">
        <f>Returns_data!AD89</f>
        <v/>
      </c>
      <c r="AE89" s="26">
        <f>Returns_data!AE89</f>
        <v/>
      </c>
      <c r="AF89" s="26">
        <f>Returns_data!AF89</f>
        <v/>
      </c>
      <c r="AG89" s="26">
        <f>Returns_data!AG89</f>
        <v/>
      </c>
      <c r="AH89" s="26">
        <f>Returns_data!AH89</f>
        <v/>
      </c>
      <c r="AI89" s="26">
        <f>Returns_data!AI89</f>
        <v/>
      </c>
      <c r="AJ89" s="26">
        <f>Returns_data!AJ89</f>
        <v/>
      </c>
      <c r="AK89" s="26">
        <f>Returns_data!AK89</f>
        <v/>
      </c>
      <c r="AL89" s="26">
        <f>Returns_data!AL89</f>
        <v/>
      </c>
      <c r="AM89" s="26">
        <f>Returns_data!AM89</f>
        <v/>
      </c>
      <c r="AN89" s="26">
        <f>Returns_data!AN89</f>
        <v/>
      </c>
    </row>
    <row r="90">
      <c r="A90" s="24" t="inlineStr">
        <is>
          <t>2022-05-01</t>
        </is>
      </c>
      <c r="B90" s="26">
        <f>Returns_data!R90</f>
        <v/>
      </c>
      <c r="C90" s="26">
        <f>Returns_data!Z90</f>
        <v/>
      </c>
      <c r="D90" s="26">
        <f>Returns_data!C90</f>
        <v/>
      </c>
      <c r="E90" s="26">
        <f>Returns_data!D90</f>
        <v/>
      </c>
      <c r="F90" s="26">
        <f>Returns_data!AC90</f>
        <v/>
      </c>
      <c r="G90" s="26">
        <f>Returns_data!E90</f>
        <v/>
      </c>
      <c r="H90" s="26">
        <f>Returns_data!V90</f>
        <v/>
      </c>
      <c r="I90" s="26">
        <f>Returns_data!G90</f>
        <v/>
      </c>
      <c r="J90" s="26">
        <f>Returns_data!O90</f>
        <v/>
      </c>
      <c r="K90" s="26">
        <f>Returns_data!Q90</f>
        <v/>
      </c>
      <c r="L90" s="26">
        <f>Returns_data!H90</f>
        <v/>
      </c>
      <c r="M90" s="26">
        <f>Returns_data!K90</f>
        <v/>
      </c>
      <c r="N90" s="26">
        <f>Returns_data!B90</f>
        <v/>
      </c>
      <c r="O90" s="26">
        <f>Returns_data!F90</f>
        <v/>
      </c>
      <c r="P90" s="26">
        <f>Returns_data!I90</f>
        <v/>
      </c>
      <c r="Q90" s="26">
        <f>Returns_data!J90</f>
        <v/>
      </c>
      <c r="R90" s="26">
        <f>Returns_data!L90</f>
        <v/>
      </c>
      <c r="S90" s="26">
        <f>Returns_data!M90</f>
        <v/>
      </c>
      <c r="T90" s="26">
        <f>Returns_data!N90</f>
        <v/>
      </c>
      <c r="U90" s="26">
        <f>Returns_data!P90</f>
        <v/>
      </c>
      <c r="V90" s="26">
        <f>Returns_data!S90</f>
        <v/>
      </c>
      <c r="W90" s="26">
        <f>Returns_data!T90</f>
        <v/>
      </c>
      <c r="X90" s="26">
        <f>Returns_data!U90</f>
        <v/>
      </c>
      <c r="Y90" s="26">
        <f>Returns_data!W90</f>
        <v/>
      </c>
      <c r="Z90" s="26">
        <f>Returns_data!X90</f>
        <v/>
      </c>
      <c r="AA90" s="26">
        <f>Returns_data!Y90</f>
        <v/>
      </c>
      <c r="AB90" s="26">
        <f>Returns_data!AA90</f>
        <v/>
      </c>
      <c r="AC90" s="26">
        <f>Returns_data!AB90</f>
        <v/>
      </c>
      <c r="AD90" s="26">
        <f>Returns_data!AD90</f>
        <v/>
      </c>
      <c r="AE90" s="26">
        <f>Returns_data!AE90</f>
        <v/>
      </c>
      <c r="AF90" s="26">
        <f>Returns_data!AF90</f>
        <v/>
      </c>
      <c r="AG90" s="26">
        <f>Returns_data!AG90</f>
        <v/>
      </c>
      <c r="AH90" s="26">
        <f>Returns_data!AH90</f>
        <v/>
      </c>
      <c r="AI90" s="26">
        <f>Returns_data!AI90</f>
        <v/>
      </c>
      <c r="AJ90" s="26">
        <f>Returns_data!AJ90</f>
        <v/>
      </c>
      <c r="AK90" s="26">
        <f>Returns_data!AK90</f>
        <v/>
      </c>
      <c r="AL90" s="26">
        <f>Returns_data!AL90</f>
        <v/>
      </c>
      <c r="AM90" s="26">
        <f>Returns_data!AM90</f>
        <v/>
      </c>
      <c r="AN90" s="26">
        <f>Returns_data!AN90</f>
        <v/>
      </c>
    </row>
    <row r="91">
      <c r="A91" s="24" t="inlineStr">
        <is>
          <t>2022-06-01</t>
        </is>
      </c>
      <c r="B91" s="26">
        <f>Returns_data!R91</f>
        <v/>
      </c>
      <c r="C91" s="26">
        <f>Returns_data!Z91</f>
        <v/>
      </c>
      <c r="D91" s="26">
        <f>Returns_data!C91</f>
        <v/>
      </c>
      <c r="E91" s="26">
        <f>Returns_data!D91</f>
        <v/>
      </c>
      <c r="F91" s="26">
        <f>Returns_data!AC91</f>
        <v/>
      </c>
      <c r="G91" s="26">
        <f>Returns_data!E91</f>
        <v/>
      </c>
      <c r="H91" s="26">
        <f>Returns_data!V91</f>
        <v/>
      </c>
      <c r="I91" s="26">
        <f>Returns_data!G91</f>
        <v/>
      </c>
      <c r="J91" s="26">
        <f>Returns_data!O91</f>
        <v/>
      </c>
      <c r="K91" s="26">
        <f>Returns_data!Q91</f>
        <v/>
      </c>
      <c r="L91" s="26">
        <f>Returns_data!H91</f>
        <v/>
      </c>
      <c r="M91" s="26">
        <f>Returns_data!K91</f>
        <v/>
      </c>
      <c r="N91" s="26">
        <f>Returns_data!B91</f>
        <v/>
      </c>
      <c r="O91" s="26">
        <f>Returns_data!F91</f>
        <v/>
      </c>
      <c r="P91" s="26">
        <f>Returns_data!I91</f>
        <v/>
      </c>
      <c r="Q91" s="26">
        <f>Returns_data!J91</f>
        <v/>
      </c>
      <c r="R91" s="26">
        <f>Returns_data!L91</f>
        <v/>
      </c>
      <c r="S91" s="26">
        <f>Returns_data!M91</f>
        <v/>
      </c>
      <c r="T91" s="26">
        <f>Returns_data!N91</f>
        <v/>
      </c>
      <c r="U91" s="26">
        <f>Returns_data!P91</f>
        <v/>
      </c>
      <c r="V91" s="26">
        <f>Returns_data!S91</f>
        <v/>
      </c>
      <c r="W91" s="26">
        <f>Returns_data!T91</f>
        <v/>
      </c>
      <c r="X91" s="26">
        <f>Returns_data!U91</f>
        <v/>
      </c>
      <c r="Y91" s="26">
        <f>Returns_data!W91</f>
        <v/>
      </c>
      <c r="Z91" s="26">
        <f>Returns_data!X91</f>
        <v/>
      </c>
      <c r="AA91" s="26">
        <f>Returns_data!Y91</f>
        <v/>
      </c>
      <c r="AB91" s="26">
        <f>Returns_data!AA91</f>
        <v/>
      </c>
      <c r="AC91" s="26">
        <f>Returns_data!AB91</f>
        <v/>
      </c>
      <c r="AD91" s="26">
        <f>Returns_data!AD91</f>
        <v/>
      </c>
      <c r="AE91" s="26">
        <f>Returns_data!AE91</f>
        <v/>
      </c>
      <c r="AF91" s="26">
        <f>Returns_data!AF91</f>
        <v/>
      </c>
      <c r="AG91" s="26">
        <f>Returns_data!AG91</f>
        <v/>
      </c>
      <c r="AH91" s="26">
        <f>Returns_data!AH91</f>
        <v/>
      </c>
      <c r="AI91" s="26">
        <f>Returns_data!AI91</f>
        <v/>
      </c>
      <c r="AJ91" s="26">
        <f>Returns_data!AJ91</f>
        <v/>
      </c>
      <c r="AK91" s="26">
        <f>Returns_data!AK91</f>
        <v/>
      </c>
      <c r="AL91" s="26">
        <f>Returns_data!AL91</f>
        <v/>
      </c>
      <c r="AM91" s="26">
        <f>Returns_data!AM91</f>
        <v/>
      </c>
      <c r="AN91" s="26">
        <f>Returns_data!AN91</f>
        <v/>
      </c>
    </row>
    <row r="92">
      <c r="A92" s="24" t="inlineStr">
        <is>
          <t>2022-07-01</t>
        </is>
      </c>
      <c r="B92" s="26">
        <f>Returns_data!R92</f>
        <v/>
      </c>
      <c r="C92" s="26">
        <f>Returns_data!Z92</f>
        <v/>
      </c>
      <c r="D92" s="26">
        <f>Returns_data!C92</f>
        <v/>
      </c>
      <c r="E92" s="26">
        <f>Returns_data!D92</f>
        <v/>
      </c>
      <c r="F92" s="26">
        <f>Returns_data!AC92</f>
        <v/>
      </c>
      <c r="G92" s="26">
        <f>Returns_data!E92</f>
        <v/>
      </c>
      <c r="H92" s="26">
        <f>Returns_data!V92</f>
        <v/>
      </c>
      <c r="I92" s="26">
        <f>Returns_data!G92</f>
        <v/>
      </c>
      <c r="J92" s="26">
        <f>Returns_data!O92</f>
        <v/>
      </c>
      <c r="K92" s="26">
        <f>Returns_data!Q92</f>
        <v/>
      </c>
      <c r="L92" s="26">
        <f>Returns_data!H92</f>
        <v/>
      </c>
      <c r="M92" s="26">
        <f>Returns_data!K92</f>
        <v/>
      </c>
      <c r="N92" s="26">
        <f>Returns_data!B92</f>
        <v/>
      </c>
      <c r="O92" s="26">
        <f>Returns_data!F92</f>
        <v/>
      </c>
      <c r="P92" s="26">
        <f>Returns_data!I92</f>
        <v/>
      </c>
      <c r="Q92" s="26">
        <f>Returns_data!J92</f>
        <v/>
      </c>
      <c r="R92" s="26">
        <f>Returns_data!L92</f>
        <v/>
      </c>
      <c r="S92" s="26">
        <f>Returns_data!M92</f>
        <v/>
      </c>
      <c r="T92" s="26">
        <f>Returns_data!N92</f>
        <v/>
      </c>
      <c r="U92" s="26">
        <f>Returns_data!P92</f>
        <v/>
      </c>
      <c r="V92" s="26">
        <f>Returns_data!S92</f>
        <v/>
      </c>
      <c r="W92" s="26">
        <f>Returns_data!T92</f>
        <v/>
      </c>
      <c r="X92" s="26">
        <f>Returns_data!U92</f>
        <v/>
      </c>
      <c r="Y92" s="26">
        <f>Returns_data!W92</f>
        <v/>
      </c>
      <c r="Z92" s="26">
        <f>Returns_data!X92</f>
        <v/>
      </c>
      <c r="AA92" s="26">
        <f>Returns_data!Y92</f>
        <v/>
      </c>
      <c r="AB92" s="26">
        <f>Returns_data!AA92</f>
        <v/>
      </c>
      <c r="AC92" s="26">
        <f>Returns_data!AB92</f>
        <v/>
      </c>
      <c r="AD92" s="26">
        <f>Returns_data!AD92</f>
        <v/>
      </c>
      <c r="AE92" s="26">
        <f>Returns_data!AE92</f>
        <v/>
      </c>
      <c r="AF92" s="26">
        <f>Returns_data!AF92</f>
        <v/>
      </c>
      <c r="AG92" s="26">
        <f>Returns_data!AG92</f>
        <v/>
      </c>
      <c r="AH92" s="26">
        <f>Returns_data!AH92</f>
        <v/>
      </c>
      <c r="AI92" s="26">
        <f>Returns_data!AI92</f>
        <v/>
      </c>
      <c r="AJ92" s="26">
        <f>Returns_data!AJ92</f>
        <v/>
      </c>
      <c r="AK92" s="26">
        <f>Returns_data!AK92</f>
        <v/>
      </c>
      <c r="AL92" s="26">
        <f>Returns_data!AL92</f>
        <v/>
      </c>
      <c r="AM92" s="26">
        <f>Returns_data!AM92</f>
        <v/>
      </c>
      <c r="AN92" s="26">
        <f>Returns_data!AN92</f>
        <v/>
      </c>
    </row>
    <row r="93">
      <c r="A93" s="24" t="inlineStr">
        <is>
          <t>2022-08-01</t>
        </is>
      </c>
      <c r="B93" s="26">
        <f>Returns_data!R93</f>
        <v/>
      </c>
      <c r="C93" s="26">
        <f>Returns_data!Z93</f>
        <v/>
      </c>
      <c r="D93" s="26">
        <f>Returns_data!C93</f>
        <v/>
      </c>
      <c r="E93" s="26">
        <f>Returns_data!D93</f>
        <v/>
      </c>
      <c r="F93" s="26">
        <f>Returns_data!AC93</f>
        <v/>
      </c>
      <c r="G93" s="26">
        <f>Returns_data!E93</f>
        <v/>
      </c>
      <c r="H93" s="26">
        <f>Returns_data!V93</f>
        <v/>
      </c>
      <c r="I93" s="26">
        <f>Returns_data!G93</f>
        <v/>
      </c>
      <c r="J93" s="26">
        <f>Returns_data!O93</f>
        <v/>
      </c>
      <c r="K93" s="26">
        <f>Returns_data!Q93</f>
        <v/>
      </c>
      <c r="L93" s="26">
        <f>Returns_data!H93</f>
        <v/>
      </c>
      <c r="M93" s="26">
        <f>Returns_data!K93</f>
        <v/>
      </c>
      <c r="N93" s="26">
        <f>Returns_data!B93</f>
        <v/>
      </c>
      <c r="O93" s="26">
        <f>Returns_data!F93</f>
        <v/>
      </c>
      <c r="P93" s="26">
        <f>Returns_data!I93</f>
        <v/>
      </c>
      <c r="Q93" s="26">
        <f>Returns_data!J93</f>
        <v/>
      </c>
      <c r="R93" s="26">
        <f>Returns_data!L93</f>
        <v/>
      </c>
      <c r="S93" s="26">
        <f>Returns_data!M93</f>
        <v/>
      </c>
      <c r="T93" s="26">
        <f>Returns_data!N93</f>
        <v/>
      </c>
      <c r="U93" s="26">
        <f>Returns_data!P93</f>
        <v/>
      </c>
      <c r="V93" s="26">
        <f>Returns_data!S93</f>
        <v/>
      </c>
      <c r="W93" s="26">
        <f>Returns_data!T93</f>
        <v/>
      </c>
      <c r="X93" s="26">
        <f>Returns_data!U93</f>
        <v/>
      </c>
      <c r="Y93" s="26">
        <f>Returns_data!W93</f>
        <v/>
      </c>
      <c r="Z93" s="26">
        <f>Returns_data!X93</f>
        <v/>
      </c>
      <c r="AA93" s="26">
        <f>Returns_data!Y93</f>
        <v/>
      </c>
      <c r="AB93" s="26">
        <f>Returns_data!AA93</f>
        <v/>
      </c>
      <c r="AC93" s="26">
        <f>Returns_data!AB93</f>
        <v/>
      </c>
      <c r="AD93" s="26">
        <f>Returns_data!AD93</f>
        <v/>
      </c>
      <c r="AE93" s="26">
        <f>Returns_data!AE93</f>
        <v/>
      </c>
      <c r="AF93" s="26">
        <f>Returns_data!AF93</f>
        <v/>
      </c>
      <c r="AG93" s="26">
        <f>Returns_data!AG93</f>
        <v/>
      </c>
      <c r="AH93" s="26">
        <f>Returns_data!AH93</f>
        <v/>
      </c>
      <c r="AI93" s="26">
        <f>Returns_data!AI93</f>
        <v/>
      </c>
      <c r="AJ93" s="26">
        <f>Returns_data!AJ93</f>
        <v/>
      </c>
      <c r="AK93" s="26">
        <f>Returns_data!AK93</f>
        <v/>
      </c>
      <c r="AL93" s="26">
        <f>Returns_data!AL93</f>
        <v/>
      </c>
      <c r="AM93" s="26">
        <f>Returns_data!AM93</f>
        <v/>
      </c>
      <c r="AN93" s="26">
        <f>Returns_data!AN93</f>
        <v/>
      </c>
    </row>
    <row r="94">
      <c r="A94" s="24" t="inlineStr">
        <is>
          <t>2022-09-01</t>
        </is>
      </c>
      <c r="B94" s="26">
        <f>Returns_data!R94</f>
        <v/>
      </c>
      <c r="C94" s="26">
        <f>Returns_data!Z94</f>
        <v/>
      </c>
      <c r="D94" s="26">
        <f>Returns_data!C94</f>
        <v/>
      </c>
      <c r="E94" s="26">
        <f>Returns_data!D94</f>
        <v/>
      </c>
      <c r="F94" s="26">
        <f>Returns_data!AC94</f>
        <v/>
      </c>
      <c r="G94" s="26">
        <f>Returns_data!E94</f>
        <v/>
      </c>
      <c r="H94" s="26">
        <f>Returns_data!V94</f>
        <v/>
      </c>
      <c r="I94" s="26">
        <f>Returns_data!G94</f>
        <v/>
      </c>
      <c r="J94" s="26">
        <f>Returns_data!O94</f>
        <v/>
      </c>
      <c r="K94" s="26">
        <f>Returns_data!Q94</f>
        <v/>
      </c>
      <c r="L94" s="26">
        <f>Returns_data!H94</f>
        <v/>
      </c>
      <c r="M94" s="26">
        <f>Returns_data!K94</f>
        <v/>
      </c>
      <c r="N94" s="26">
        <f>Returns_data!B94</f>
        <v/>
      </c>
      <c r="O94" s="26">
        <f>Returns_data!F94</f>
        <v/>
      </c>
      <c r="P94" s="26">
        <f>Returns_data!I94</f>
        <v/>
      </c>
      <c r="Q94" s="26">
        <f>Returns_data!J94</f>
        <v/>
      </c>
      <c r="R94" s="26">
        <f>Returns_data!L94</f>
        <v/>
      </c>
      <c r="S94" s="26">
        <f>Returns_data!M94</f>
        <v/>
      </c>
      <c r="T94" s="26">
        <f>Returns_data!N94</f>
        <v/>
      </c>
      <c r="U94" s="26">
        <f>Returns_data!P94</f>
        <v/>
      </c>
      <c r="V94" s="26">
        <f>Returns_data!S94</f>
        <v/>
      </c>
      <c r="W94" s="26">
        <f>Returns_data!T94</f>
        <v/>
      </c>
      <c r="X94" s="26">
        <f>Returns_data!U94</f>
        <v/>
      </c>
      <c r="Y94" s="26">
        <f>Returns_data!W94</f>
        <v/>
      </c>
      <c r="Z94" s="26">
        <f>Returns_data!X94</f>
        <v/>
      </c>
      <c r="AA94" s="26">
        <f>Returns_data!Y94</f>
        <v/>
      </c>
      <c r="AB94" s="26">
        <f>Returns_data!AA94</f>
        <v/>
      </c>
      <c r="AC94" s="26">
        <f>Returns_data!AB94</f>
        <v/>
      </c>
      <c r="AD94" s="26">
        <f>Returns_data!AD94</f>
        <v/>
      </c>
      <c r="AE94" s="26">
        <f>Returns_data!AE94</f>
        <v/>
      </c>
      <c r="AF94" s="26">
        <f>Returns_data!AF94</f>
        <v/>
      </c>
      <c r="AG94" s="26">
        <f>Returns_data!AG94</f>
        <v/>
      </c>
      <c r="AH94" s="26">
        <f>Returns_data!AH94</f>
        <v/>
      </c>
      <c r="AI94" s="26">
        <f>Returns_data!AI94</f>
        <v/>
      </c>
      <c r="AJ94" s="26">
        <f>Returns_data!AJ94</f>
        <v/>
      </c>
      <c r="AK94" s="26">
        <f>Returns_data!AK94</f>
        <v/>
      </c>
      <c r="AL94" s="26">
        <f>Returns_data!AL94</f>
        <v/>
      </c>
      <c r="AM94" s="26">
        <f>Returns_data!AM94</f>
        <v/>
      </c>
      <c r="AN94" s="26">
        <f>Returns_data!AN94</f>
        <v/>
      </c>
    </row>
    <row r="95">
      <c r="A95" s="24" t="inlineStr">
        <is>
          <t>2022-10-01</t>
        </is>
      </c>
      <c r="B95" s="26">
        <f>Returns_data!R95</f>
        <v/>
      </c>
      <c r="C95" s="26">
        <f>Returns_data!Z95</f>
        <v/>
      </c>
      <c r="D95" s="26">
        <f>Returns_data!C95</f>
        <v/>
      </c>
      <c r="E95" s="26">
        <f>Returns_data!D95</f>
        <v/>
      </c>
      <c r="F95" s="26">
        <f>Returns_data!AC95</f>
        <v/>
      </c>
      <c r="G95" s="26">
        <f>Returns_data!E95</f>
        <v/>
      </c>
      <c r="H95" s="26">
        <f>Returns_data!V95</f>
        <v/>
      </c>
      <c r="I95" s="26">
        <f>Returns_data!G95</f>
        <v/>
      </c>
      <c r="J95" s="26">
        <f>Returns_data!O95</f>
        <v/>
      </c>
      <c r="K95" s="26">
        <f>Returns_data!Q95</f>
        <v/>
      </c>
      <c r="L95" s="26">
        <f>Returns_data!H95</f>
        <v/>
      </c>
      <c r="M95" s="26">
        <f>Returns_data!K95</f>
        <v/>
      </c>
      <c r="N95" s="26">
        <f>Returns_data!B95</f>
        <v/>
      </c>
      <c r="O95" s="26">
        <f>Returns_data!F95</f>
        <v/>
      </c>
      <c r="P95" s="26">
        <f>Returns_data!I95</f>
        <v/>
      </c>
      <c r="Q95" s="26">
        <f>Returns_data!J95</f>
        <v/>
      </c>
      <c r="R95" s="26">
        <f>Returns_data!L95</f>
        <v/>
      </c>
      <c r="S95" s="26">
        <f>Returns_data!M95</f>
        <v/>
      </c>
      <c r="T95" s="26">
        <f>Returns_data!N95</f>
        <v/>
      </c>
      <c r="U95" s="26">
        <f>Returns_data!P95</f>
        <v/>
      </c>
      <c r="V95" s="26">
        <f>Returns_data!S95</f>
        <v/>
      </c>
      <c r="W95" s="26">
        <f>Returns_data!T95</f>
        <v/>
      </c>
      <c r="X95" s="26">
        <f>Returns_data!U95</f>
        <v/>
      </c>
      <c r="Y95" s="26">
        <f>Returns_data!W95</f>
        <v/>
      </c>
      <c r="Z95" s="26">
        <f>Returns_data!X95</f>
        <v/>
      </c>
      <c r="AA95" s="26">
        <f>Returns_data!Y95</f>
        <v/>
      </c>
      <c r="AB95" s="26">
        <f>Returns_data!AA95</f>
        <v/>
      </c>
      <c r="AC95" s="26">
        <f>Returns_data!AB95</f>
        <v/>
      </c>
      <c r="AD95" s="26">
        <f>Returns_data!AD95</f>
        <v/>
      </c>
      <c r="AE95" s="26">
        <f>Returns_data!AE95</f>
        <v/>
      </c>
      <c r="AF95" s="26">
        <f>Returns_data!AF95</f>
        <v/>
      </c>
      <c r="AG95" s="26">
        <f>Returns_data!AG95</f>
        <v/>
      </c>
      <c r="AH95" s="26">
        <f>Returns_data!AH95</f>
        <v/>
      </c>
      <c r="AI95" s="26">
        <f>Returns_data!AI95</f>
        <v/>
      </c>
      <c r="AJ95" s="26">
        <f>Returns_data!AJ95</f>
        <v/>
      </c>
      <c r="AK95" s="26">
        <f>Returns_data!AK95</f>
        <v/>
      </c>
      <c r="AL95" s="26">
        <f>Returns_data!AL95</f>
        <v/>
      </c>
      <c r="AM95" s="26">
        <f>Returns_data!AM95</f>
        <v/>
      </c>
      <c r="AN95" s="26">
        <f>Returns_data!AN95</f>
        <v/>
      </c>
    </row>
    <row r="96">
      <c r="A96" s="24" t="inlineStr">
        <is>
          <t>2022-11-01</t>
        </is>
      </c>
      <c r="B96" s="26">
        <f>Returns_data!R96</f>
        <v/>
      </c>
      <c r="C96" s="26">
        <f>Returns_data!Z96</f>
        <v/>
      </c>
      <c r="D96" s="26">
        <f>Returns_data!C96</f>
        <v/>
      </c>
      <c r="E96" s="26">
        <f>Returns_data!D96</f>
        <v/>
      </c>
      <c r="F96" s="26">
        <f>Returns_data!AC96</f>
        <v/>
      </c>
      <c r="G96" s="26">
        <f>Returns_data!E96</f>
        <v/>
      </c>
      <c r="H96" s="26">
        <f>Returns_data!V96</f>
        <v/>
      </c>
      <c r="I96" s="26">
        <f>Returns_data!G96</f>
        <v/>
      </c>
      <c r="J96" s="26">
        <f>Returns_data!O96</f>
        <v/>
      </c>
      <c r="K96" s="26">
        <f>Returns_data!Q96</f>
        <v/>
      </c>
      <c r="L96" s="26">
        <f>Returns_data!H96</f>
        <v/>
      </c>
      <c r="M96" s="26">
        <f>Returns_data!K96</f>
        <v/>
      </c>
      <c r="N96" s="26">
        <f>Returns_data!B96</f>
        <v/>
      </c>
      <c r="O96" s="26">
        <f>Returns_data!F96</f>
        <v/>
      </c>
      <c r="P96" s="26">
        <f>Returns_data!I96</f>
        <v/>
      </c>
      <c r="Q96" s="26">
        <f>Returns_data!J96</f>
        <v/>
      </c>
      <c r="R96" s="26">
        <f>Returns_data!L96</f>
        <v/>
      </c>
      <c r="S96" s="26">
        <f>Returns_data!M96</f>
        <v/>
      </c>
      <c r="T96" s="26">
        <f>Returns_data!N96</f>
        <v/>
      </c>
      <c r="U96" s="26">
        <f>Returns_data!P96</f>
        <v/>
      </c>
      <c r="V96" s="26">
        <f>Returns_data!S96</f>
        <v/>
      </c>
      <c r="W96" s="26">
        <f>Returns_data!T96</f>
        <v/>
      </c>
      <c r="X96" s="26">
        <f>Returns_data!U96</f>
        <v/>
      </c>
      <c r="Y96" s="26">
        <f>Returns_data!W96</f>
        <v/>
      </c>
      <c r="Z96" s="26">
        <f>Returns_data!X96</f>
        <v/>
      </c>
      <c r="AA96" s="26">
        <f>Returns_data!Y96</f>
        <v/>
      </c>
      <c r="AB96" s="26">
        <f>Returns_data!AA96</f>
        <v/>
      </c>
      <c r="AC96" s="26">
        <f>Returns_data!AB96</f>
        <v/>
      </c>
      <c r="AD96" s="26">
        <f>Returns_data!AD96</f>
        <v/>
      </c>
      <c r="AE96" s="26">
        <f>Returns_data!AE96</f>
        <v/>
      </c>
      <c r="AF96" s="26">
        <f>Returns_data!AF96</f>
        <v/>
      </c>
      <c r="AG96" s="26">
        <f>Returns_data!AG96</f>
        <v/>
      </c>
      <c r="AH96" s="26">
        <f>Returns_data!AH96</f>
        <v/>
      </c>
      <c r="AI96" s="26">
        <f>Returns_data!AI96</f>
        <v/>
      </c>
      <c r="AJ96" s="26">
        <f>Returns_data!AJ96</f>
        <v/>
      </c>
      <c r="AK96" s="26">
        <f>Returns_data!AK96</f>
        <v/>
      </c>
      <c r="AL96" s="26">
        <f>Returns_data!AL96</f>
        <v/>
      </c>
      <c r="AM96" s="26">
        <f>Returns_data!AM96</f>
        <v/>
      </c>
      <c r="AN96" s="26">
        <f>Returns_data!AN96</f>
        <v/>
      </c>
    </row>
    <row r="97">
      <c r="A97" s="24" t="inlineStr">
        <is>
          <t>2022-12-01</t>
        </is>
      </c>
      <c r="B97" s="26">
        <f>Returns_data!R97</f>
        <v/>
      </c>
      <c r="C97" s="26">
        <f>Returns_data!Z97</f>
        <v/>
      </c>
      <c r="D97" s="26">
        <f>Returns_data!C97</f>
        <v/>
      </c>
      <c r="E97" s="26">
        <f>Returns_data!D97</f>
        <v/>
      </c>
      <c r="F97" s="26">
        <f>Returns_data!AC97</f>
        <v/>
      </c>
      <c r="G97" s="26">
        <f>Returns_data!E97</f>
        <v/>
      </c>
      <c r="H97" s="26">
        <f>Returns_data!V97</f>
        <v/>
      </c>
      <c r="I97" s="26">
        <f>Returns_data!G97</f>
        <v/>
      </c>
      <c r="J97" s="26">
        <f>Returns_data!O97</f>
        <v/>
      </c>
      <c r="K97" s="26">
        <f>Returns_data!Q97</f>
        <v/>
      </c>
      <c r="L97" s="26">
        <f>Returns_data!H97</f>
        <v/>
      </c>
      <c r="M97" s="26">
        <f>Returns_data!K97</f>
        <v/>
      </c>
      <c r="N97" s="26">
        <f>Returns_data!B97</f>
        <v/>
      </c>
      <c r="O97" s="26">
        <f>Returns_data!F97</f>
        <v/>
      </c>
      <c r="P97" s="26">
        <f>Returns_data!I97</f>
        <v/>
      </c>
      <c r="Q97" s="26">
        <f>Returns_data!J97</f>
        <v/>
      </c>
      <c r="R97" s="26">
        <f>Returns_data!L97</f>
        <v/>
      </c>
      <c r="S97" s="26">
        <f>Returns_data!M97</f>
        <v/>
      </c>
      <c r="T97" s="26">
        <f>Returns_data!N97</f>
        <v/>
      </c>
      <c r="U97" s="26">
        <f>Returns_data!P97</f>
        <v/>
      </c>
      <c r="V97" s="26">
        <f>Returns_data!S97</f>
        <v/>
      </c>
      <c r="W97" s="26">
        <f>Returns_data!T97</f>
        <v/>
      </c>
      <c r="X97" s="26">
        <f>Returns_data!U97</f>
        <v/>
      </c>
      <c r="Y97" s="26">
        <f>Returns_data!W97</f>
        <v/>
      </c>
      <c r="Z97" s="26">
        <f>Returns_data!X97</f>
        <v/>
      </c>
      <c r="AA97" s="26">
        <f>Returns_data!Y97</f>
        <v/>
      </c>
      <c r="AB97" s="26">
        <f>Returns_data!AA97</f>
        <v/>
      </c>
      <c r="AC97" s="26">
        <f>Returns_data!AB97</f>
        <v/>
      </c>
      <c r="AD97" s="26">
        <f>Returns_data!AD97</f>
        <v/>
      </c>
      <c r="AE97" s="26">
        <f>Returns_data!AE97</f>
        <v/>
      </c>
      <c r="AF97" s="26">
        <f>Returns_data!AF97</f>
        <v/>
      </c>
      <c r="AG97" s="26">
        <f>Returns_data!AG97</f>
        <v/>
      </c>
      <c r="AH97" s="26">
        <f>Returns_data!AH97</f>
        <v/>
      </c>
      <c r="AI97" s="26">
        <f>Returns_data!AI97</f>
        <v/>
      </c>
      <c r="AJ97" s="26">
        <f>Returns_data!AJ97</f>
        <v/>
      </c>
      <c r="AK97" s="26">
        <f>Returns_data!AK97</f>
        <v/>
      </c>
      <c r="AL97" s="26">
        <f>Returns_data!AL97</f>
        <v/>
      </c>
      <c r="AM97" s="26">
        <f>Returns_data!AM97</f>
        <v/>
      </c>
      <c r="AN97" s="26">
        <f>Returns_data!AN97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3" t="inlineStr">
        <is>
          <t>Date</t>
        </is>
      </c>
      <c r="B1" s="3" t="inlineStr">
        <is>
          <t>Mkt-RF</t>
        </is>
      </c>
      <c r="C1" s="3" t="inlineStr">
        <is>
          <t>SMB</t>
        </is>
      </c>
      <c r="D1" s="3" t="inlineStr">
        <is>
          <t>HML</t>
        </is>
      </c>
      <c r="E1" s="3" t="inlineStr">
        <is>
          <t>RF</t>
        </is>
      </c>
    </row>
    <row r="2">
      <c r="A2" s="31" t="inlineStr">
        <is>
          <t>2015-01-01</t>
        </is>
      </c>
      <c r="B2" s="32" t="n">
        <v>-0.031</v>
      </c>
      <c r="C2" s="32" t="n">
        <v>-0.0061</v>
      </c>
      <c r="D2" s="32" t="n">
        <v>-0.0348</v>
      </c>
      <c r="E2" s="32" t="n">
        <v>0</v>
      </c>
    </row>
    <row r="3">
      <c r="A3" s="31" t="inlineStr">
        <is>
          <t>2015-02-01</t>
        </is>
      </c>
      <c r="B3" s="32" t="n">
        <v>0.0613</v>
      </c>
      <c r="C3" s="32" t="n">
        <v>0.0064</v>
      </c>
      <c r="D3" s="32" t="n">
        <v>-0.0175</v>
      </c>
      <c r="E3" s="32" t="n">
        <v>0</v>
      </c>
    </row>
    <row r="4">
      <c r="A4" s="31" t="inlineStr">
        <is>
          <t>2015-03-01</t>
        </is>
      </c>
      <c r="B4" s="32" t="n">
        <v>-0.0111</v>
      </c>
      <c r="C4" s="32" t="n">
        <v>0.0306</v>
      </c>
      <c r="D4" s="32" t="n">
        <v>-0.0038</v>
      </c>
      <c r="E4" s="32" t="n">
        <v>0</v>
      </c>
    </row>
    <row r="5">
      <c r="A5" s="31" t="inlineStr">
        <is>
          <t>2015-04-01</t>
        </is>
      </c>
      <c r="B5" s="32" t="n">
        <v>0.0059</v>
      </c>
      <c r="C5" s="32" t="n">
        <v>-0.0298</v>
      </c>
      <c r="D5" s="32" t="n">
        <v>0.0181</v>
      </c>
      <c r="E5" s="32" t="n">
        <v>0</v>
      </c>
    </row>
    <row r="6">
      <c r="A6" s="31" t="inlineStr">
        <is>
          <t>2015-05-01</t>
        </is>
      </c>
      <c r="B6" s="32" t="n">
        <v>0.0137</v>
      </c>
      <c r="C6" s="32" t="n">
        <v>0.009599999999999999</v>
      </c>
      <c r="D6" s="32" t="n">
        <v>-0.011</v>
      </c>
      <c r="E6" s="32" t="n">
        <v>0</v>
      </c>
    </row>
    <row r="7">
      <c r="A7" s="31" t="inlineStr">
        <is>
          <t>2015-06-01</t>
        </is>
      </c>
      <c r="B7" s="32" t="n">
        <v>-0.0152</v>
      </c>
      <c r="C7" s="32" t="n">
        <v>0.0295</v>
      </c>
      <c r="D7" s="32" t="n">
        <v>-0.008</v>
      </c>
      <c r="E7" s="32" t="n">
        <v>0</v>
      </c>
    </row>
    <row r="8">
      <c r="A8" s="31" t="inlineStr">
        <is>
          <t>2015-07-01</t>
        </is>
      </c>
      <c r="B8" s="32" t="n">
        <v>0.0157</v>
      </c>
      <c r="C8" s="32" t="n">
        <v>-0.0417</v>
      </c>
      <c r="D8" s="32" t="n">
        <v>-0.0416</v>
      </c>
      <c r="E8" s="32" t="n">
        <v>0</v>
      </c>
    </row>
    <row r="9">
      <c r="A9" s="31" t="inlineStr">
        <is>
          <t>2015-08-01</t>
        </is>
      </c>
      <c r="B9" s="32" t="n">
        <v>-0.0602</v>
      </c>
      <c r="C9" s="32" t="n">
        <v>0.0037</v>
      </c>
      <c r="D9" s="32" t="n">
        <v>0.0275</v>
      </c>
      <c r="E9" s="32" t="n">
        <v>0</v>
      </c>
    </row>
    <row r="10">
      <c r="A10" s="31" t="inlineStr">
        <is>
          <t>2015-09-01</t>
        </is>
      </c>
      <c r="B10" s="32" t="n">
        <v>-0.0306</v>
      </c>
      <c r="C10" s="32" t="n">
        <v>-0.0263</v>
      </c>
      <c r="D10" s="32" t="n">
        <v>0.0055</v>
      </c>
      <c r="E10" s="32" t="n">
        <v>0</v>
      </c>
    </row>
    <row r="11">
      <c r="A11" s="31" t="inlineStr">
        <is>
          <t>2015-10-01</t>
        </is>
      </c>
      <c r="B11" s="32" t="n">
        <v>0.0775</v>
      </c>
      <c r="C11" s="32" t="n">
        <v>-0.0191</v>
      </c>
      <c r="D11" s="32" t="n">
        <v>-0.0046</v>
      </c>
      <c r="E11" s="32" t="n">
        <v>0</v>
      </c>
    </row>
    <row r="12">
      <c r="A12" s="31" t="inlineStr">
        <is>
          <t>2015-11-01</t>
        </is>
      </c>
      <c r="B12" s="32" t="n">
        <v>0.0057</v>
      </c>
      <c r="C12" s="32" t="n">
        <v>0.0358</v>
      </c>
      <c r="D12" s="32" t="n">
        <v>-0.0043</v>
      </c>
      <c r="E12" s="32" t="n">
        <v>0</v>
      </c>
    </row>
    <row r="13">
      <c r="A13" s="31" t="inlineStr">
        <is>
          <t>2015-12-01</t>
        </is>
      </c>
      <c r="B13" s="32" t="n">
        <v>-0.0215</v>
      </c>
      <c r="C13" s="32" t="n">
        <v>-0.028</v>
      </c>
      <c r="D13" s="32" t="n">
        <v>-0.0257</v>
      </c>
      <c r="E13" s="32" t="n">
        <v>0.0001</v>
      </c>
    </row>
    <row r="14">
      <c r="A14" s="31" t="inlineStr">
        <is>
          <t>2016-01-01</t>
        </is>
      </c>
      <c r="B14" s="32" t="n">
        <v>-0.0574</v>
      </c>
      <c r="C14" s="32" t="n">
        <v>-0.034</v>
      </c>
      <c r="D14" s="32" t="n">
        <v>0.0208</v>
      </c>
      <c r="E14" s="32" t="n">
        <v>0.0001</v>
      </c>
    </row>
    <row r="15">
      <c r="A15" s="31" t="inlineStr">
        <is>
          <t>2016-02-01</t>
        </is>
      </c>
      <c r="B15" s="32" t="n">
        <v>-0.0005999999999999999</v>
      </c>
      <c r="C15" s="32" t="n">
        <v>0.0073</v>
      </c>
      <c r="D15" s="32" t="n">
        <v>-0.0061</v>
      </c>
      <c r="E15" s="32" t="n">
        <v>0.0002</v>
      </c>
    </row>
    <row r="16">
      <c r="A16" s="31" t="inlineStr">
        <is>
          <t>2016-03-01</t>
        </is>
      </c>
      <c r="B16" s="32" t="n">
        <v>0.06950000000000001</v>
      </c>
      <c r="C16" s="32" t="n">
        <v>0.0075</v>
      </c>
      <c r="D16" s="32" t="n">
        <v>0.0123</v>
      </c>
      <c r="E16" s="32" t="n">
        <v>0.0002</v>
      </c>
    </row>
    <row r="17">
      <c r="A17" s="31" t="inlineStr">
        <is>
          <t>2016-04-01</t>
        </is>
      </c>
      <c r="B17" s="32" t="n">
        <v>0.0092</v>
      </c>
      <c r="C17" s="32" t="n">
        <v>0.0077</v>
      </c>
      <c r="D17" s="32" t="n">
        <v>0.0322</v>
      </c>
      <c r="E17" s="32" t="n">
        <v>0.0001</v>
      </c>
    </row>
    <row r="18">
      <c r="A18" s="31" t="inlineStr">
        <is>
          <t>2016-05-01</t>
        </is>
      </c>
      <c r="B18" s="32" t="n">
        <v>0.0178</v>
      </c>
      <c r="C18" s="32" t="n">
        <v>-0.0018</v>
      </c>
      <c r="D18" s="32" t="n">
        <v>-0.0162</v>
      </c>
      <c r="E18" s="32" t="n">
        <v>0.0001</v>
      </c>
    </row>
    <row r="19">
      <c r="A19" s="31" t="inlineStr">
        <is>
          <t>2016-06-01</t>
        </is>
      </c>
      <c r="B19" s="32" t="n">
        <v>-0.0003</v>
      </c>
      <c r="C19" s="32" t="n">
        <v>0.006</v>
      </c>
      <c r="D19" s="32" t="n">
        <v>-0.0149</v>
      </c>
      <c r="E19" s="32" t="n">
        <v>0.0002</v>
      </c>
    </row>
    <row r="20">
      <c r="A20" s="31" t="inlineStr">
        <is>
          <t>2016-07-01</t>
        </is>
      </c>
      <c r="B20" s="32" t="n">
        <v>0.0394</v>
      </c>
      <c r="C20" s="32" t="n">
        <v>0.0247</v>
      </c>
      <c r="D20" s="32" t="n">
        <v>-0.0127</v>
      </c>
      <c r="E20" s="32" t="n">
        <v>0.0002</v>
      </c>
    </row>
    <row r="21">
      <c r="A21" s="31" t="inlineStr">
        <is>
          <t>2016-08-01</t>
        </is>
      </c>
      <c r="B21" s="32" t="n">
        <v>0.0049</v>
      </c>
      <c r="C21" s="32" t="n">
        <v>0.0119</v>
      </c>
      <c r="D21" s="32" t="n">
        <v>0.0317</v>
      </c>
      <c r="E21" s="32" t="n">
        <v>0.0002</v>
      </c>
    </row>
    <row r="22">
      <c r="A22" s="31" t="inlineStr">
        <is>
          <t>2016-09-01</t>
        </is>
      </c>
      <c r="B22" s="32" t="n">
        <v>0.0027</v>
      </c>
      <c r="C22" s="32" t="n">
        <v>0.0209</v>
      </c>
      <c r="D22" s="32" t="n">
        <v>-0.0122</v>
      </c>
      <c r="E22" s="32" t="n">
        <v>0.0002</v>
      </c>
    </row>
    <row r="23">
      <c r="A23" s="31" t="inlineStr">
        <is>
          <t>2016-10-01</t>
        </is>
      </c>
      <c r="B23" s="32" t="n">
        <v>-0.0201</v>
      </c>
      <c r="C23" s="32" t="n">
        <v>-0.0441</v>
      </c>
      <c r="D23" s="32" t="n">
        <v>0.041</v>
      </c>
      <c r="E23" s="32" t="n">
        <v>0.0002</v>
      </c>
    </row>
    <row r="24">
      <c r="A24" s="31" t="inlineStr">
        <is>
          <t>2016-11-01</t>
        </is>
      </c>
      <c r="B24" s="32" t="n">
        <v>0.0486</v>
      </c>
      <c r="C24" s="32" t="n">
        <v>0.056</v>
      </c>
      <c r="D24" s="32" t="n">
        <v>0.0832</v>
      </c>
      <c r="E24" s="32" t="n">
        <v>0.0001</v>
      </c>
    </row>
    <row r="25">
      <c r="A25" s="31" t="inlineStr">
        <is>
          <t>2016-12-01</t>
        </is>
      </c>
      <c r="B25" s="32" t="n">
        <v>0.0181</v>
      </c>
      <c r="C25" s="32" t="n">
        <v>0.0013</v>
      </c>
      <c r="D25" s="32" t="n">
        <v>0.035</v>
      </c>
      <c r="E25" s="32" t="n">
        <v>0.0003</v>
      </c>
    </row>
    <row r="26">
      <c r="A26" s="31" t="inlineStr">
        <is>
          <t>2017-01-01</t>
        </is>
      </c>
      <c r="B26" s="32" t="n">
        <v>0.0194</v>
      </c>
      <c r="C26" s="32" t="n">
        <v>-0.0116</v>
      </c>
      <c r="D26" s="32" t="n">
        <v>-0.0274</v>
      </c>
      <c r="E26" s="32" t="n">
        <v>0.0004</v>
      </c>
    </row>
    <row r="27">
      <c r="A27" s="31" t="inlineStr">
        <is>
          <t>2017-02-01</t>
        </is>
      </c>
      <c r="B27" s="32" t="n">
        <v>0.0355</v>
      </c>
      <c r="C27" s="32" t="n">
        <v>-0.0213</v>
      </c>
      <c r="D27" s="32" t="n">
        <v>-0.0152</v>
      </c>
      <c r="E27" s="32" t="n">
        <v>0.0004</v>
      </c>
    </row>
    <row r="28">
      <c r="A28" s="31" t="inlineStr">
        <is>
          <t>2017-03-01</t>
        </is>
      </c>
      <c r="B28" s="32" t="n">
        <v>0.0017</v>
      </c>
      <c r="C28" s="32" t="n">
        <v>0.0113</v>
      </c>
      <c r="D28" s="32" t="n">
        <v>-0.0333</v>
      </c>
      <c r="E28" s="32" t="n">
        <v>0.0003</v>
      </c>
    </row>
    <row r="29">
      <c r="A29" s="31" t="inlineStr">
        <is>
          <t>2017-04-01</t>
        </is>
      </c>
      <c r="B29" s="32" t="n">
        <v>0.0108</v>
      </c>
      <c r="C29" s="32" t="n">
        <v>0.0068</v>
      </c>
      <c r="D29" s="32" t="n">
        <v>-0.0208</v>
      </c>
      <c r="E29" s="32" t="n">
        <v>0.0005</v>
      </c>
    </row>
    <row r="30">
      <c r="A30" s="31" t="inlineStr">
        <is>
          <t>2017-05-01</t>
        </is>
      </c>
      <c r="B30" s="32" t="n">
        <v>0.0107</v>
      </c>
      <c r="C30" s="32" t="n">
        <v>-0.0251</v>
      </c>
      <c r="D30" s="32" t="n">
        <v>-0.0382</v>
      </c>
      <c r="E30" s="32" t="n">
        <v>0.0005999999999999999</v>
      </c>
    </row>
    <row r="31">
      <c r="A31" s="31" t="inlineStr">
        <is>
          <t>2017-06-01</t>
        </is>
      </c>
      <c r="B31" s="32" t="n">
        <v>0.007900000000000001</v>
      </c>
      <c r="C31" s="32" t="n">
        <v>0.0222</v>
      </c>
      <c r="D31" s="32" t="n">
        <v>0.0151</v>
      </c>
      <c r="E31" s="32" t="n">
        <v>0.0005999999999999999</v>
      </c>
    </row>
    <row r="32">
      <c r="A32" s="31" t="inlineStr">
        <is>
          <t>2017-07-01</t>
        </is>
      </c>
      <c r="B32" s="32" t="n">
        <v>0.0188</v>
      </c>
      <c r="C32" s="32" t="n">
        <v>-0.0145</v>
      </c>
      <c r="D32" s="32" t="n">
        <v>-0.0023</v>
      </c>
      <c r="E32" s="32" t="n">
        <v>0.0007</v>
      </c>
    </row>
    <row r="33">
      <c r="A33" s="31" t="inlineStr">
        <is>
          <t>2017-08-01</t>
        </is>
      </c>
      <c r="B33" s="32" t="n">
        <v>0.0018</v>
      </c>
      <c r="C33" s="32" t="n">
        <v>-0.0167</v>
      </c>
      <c r="D33" s="32" t="n">
        <v>-0.0213</v>
      </c>
      <c r="E33" s="32" t="n">
        <v>0.0009</v>
      </c>
    </row>
    <row r="34">
      <c r="A34" s="31" t="inlineStr">
        <is>
          <t>2017-09-01</t>
        </is>
      </c>
      <c r="B34" s="32" t="n">
        <v>0.0249</v>
      </c>
      <c r="C34" s="32" t="n">
        <v>0.0445</v>
      </c>
      <c r="D34" s="32" t="n">
        <v>0.0315</v>
      </c>
      <c r="E34" s="32" t="n">
        <v>0.0009</v>
      </c>
    </row>
    <row r="35">
      <c r="A35" s="31" t="inlineStr">
        <is>
          <t>2017-10-01</t>
        </is>
      </c>
      <c r="B35" s="32" t="n">
        <v>0.0226</v>
      </c>
      <c r="C35" s="32" t="n">
        <v>-0.0193</v>
      </c>
      <c r="D35" s="32" t="n">
        <v>0.0013</v>
      </c>
      <c r="E35" s="32" t="n">
        <v>0.0009</v>
      </c>
    </row>
    <row r="36">
      <c r="A36" s="31" t="inlineStr">
        <is>
          <t>2017-11-01</t>
        </is>
      </c>
      <c r="B36" s="32" t="n">
        <v>0.0312</v>
      </c>
      <c r="C36" s="32" t="n">
        <v>-0.006</v>
      </c>
      <c r="D36" s="32" t="n">
        <v>-0.0009</v>
      </c>
      <c r="E36" s="32" t="n">
        <v>0.0008</v>
      </c>
    </row>
    <row r="37">
      <c r="A37" s="31" t="inlineStr">
        <is>
          <t>2017-12-01</t>
        </is>
      </c>
      <c r="B37" s="32" t="n">
        <v>0.0106</v>
      </c>
      <c r="C37" s="32" t="n">
        <v>-0.0132</v>
      </c>
      <c r="D37" s="32" t="n">
        <v>0.0005</v>
      </c>
      <c r="E37" s="32" t="n">
        <v>0.0009</v>
      </c>
    </row>
    <row r="38">
      <c r="A38" s="31" t="inlineStr">
        <is>
          <t>2018-01-01</t>
        </is>
      </c>
      <c r="B38" s="32" t="n">
        <v>0.0558</v>
      </c>
      <c r="C38" s="32" t="n">
        <v>-0.0316</v>
      </c>
      <c r="D38" s="32" t="n">
        <v>-0.0132</v>
      </c>
      <c r="E38" s="32" t="n">
        <v>0.0011</v>
      </c>
    </row>
    <row r="39">
      <c r="A39" s="31" t="inlineStr">
        <is>
          <t>2018-02-01</t>
        </is>
      </c>
      <c r="B39" s="32" t="n">
        <v>-0.0364</v>
      </c>
      <c r="C39" s="32" t="n">
        <v>0.0027</v>
      </c>
      <c r="D39" s="32" t="n">
        <v>-0.011</v>
      </c>
      <c r="E39" s="32" t="n">
        <v>0.0011</v>
      </c>
    </row>
    <row r="40">
      <c r="A40" s="31" t="inlineStr">
        <is>
          <t>2018-03-01</t>
        </is>
      </c>
      <c r="B40" s="32" t="n">
        <v>-0.0235</v>
      </c>
      <c r="C40" s="32" t="n">
        <v>0.0405</v>
      </c>
      <c r="D40" s="32" t="n">
        <v>-0.0021</v>
      </c>
      <c r="E40" s="32" t="n">
        <v>0.0012</v>
      </c>
    </row>
    <row r="41">
      <c r="A41" s="31" t="inlineStr">
        <is>
          <t>2018-04-01</t>
        </is>
      </c>
      <c r="B41" s="32" t="n">
        <v>0.0027</v>
      </c>
      <c r="C41" s="32" t="n">
        <v>0.0109</v>
      </c>
      <c r="D41" s="32" t="n">
        <v>0.0053</v>
      </c>
      <c r="E41" s="32" t="n">
        <v>0.0014</v>
      </c>
    </row>
    <row r="42">
      <c r="A42" s="31" t="inlineStr">
        <is>
          <t>2018-05-01</t>
        </is>
      </c>
      <c r="B42" s="32" t="n">
        <v>0.0266</v>
      </c>
      <c r="C42" s="32" t="n">
        <v>0.0524</v>
      </c>
      <c r="D42" s="32" t="n">
        <v>-0.0314</v>
      </c>
      <c r="E42" s="32" t="n">
        <v>0.0014</v>
      </c>
    </row>
    <row r="43">
      <c r="A43" s="31" t="inlineStr">
        <is>
          <t>2018-06-01</t>
        </is>
      </c>
      <c r="B43" s="32" t="n">
        <v>0.0049</v>
      </c>
      <c r="C43" s="32" t="n">
        <v>0.0111</v>
      </c>
      <c r="D43" s="32" t="n">
        <v>-0.0233</v>
      </c>
      <c r="E43" s="32" t="n">
        <v>0.0014</v>
      </c>
    </row>
    <row r="44">
      <c r="A44" s="31" t="inlineStr">
        <is>
          <t>2018-07-01</t>
        </is>
      </c>
      <c r="B44" s="32" t="n">
        <v>0.032</v>
      </c>
      <c r="C44" s="32" t="n">
        <v>-0.0222</v>
      </c>
      <c r="D44" s="32" t="n">
        <v>0.0047</v>
      </c>
      <c r="E44" s="32" t="n">
        <v>0.0016</v>
      </c>
    </row>
    <row r="45">
      <c r="A45" s="31" t="inlineStr">
        <is>
          <t>2018-08-01</t>
        </is>
      </c>
      <c r="B45" s="32" t="n">
        <v>0.0345</v>
      </c>
      <c r="C45" s="32" t="n">
        <v>0.0117</v>
      </c>
      <c r="D45" s="32" t="n">
        <v>-0.0393</v>
      </c>
      <c r="E45" s="32" t="n">
        <v>0.0016</v>
      </c>
    </row>
    <row r="46">
      <c r="A46" s="31" t="inlineStr">
        <is>
          <t>2018-09-01</t>
        </is>
      </c>
      <c r="B46" s="32" t="n">
        <v>0.0005999999999999999</v>
      </c>
      <c r="C46" s="32" t="n">
        <v>-0.0229</v>
      </c>
      <c r="D46" s="32" t="n">
        <v>-0.0168</v>
      </c>
      <c r="E46" s="32" t="n">
        <v>0.0015</v>
      </c>
    </row>
    <row r="47">
      <c r="A47" s="31" t="inlineStr">
        <is>
          <t>2018-10-01</t>
        </is>
      </c>
      <c r="B47" s="32" t="n">
        <v>-0.0765</v>
      </c>
      <c r="C47" s="32" t="n">
        <v>-0.0467</v>
      </c>
      <c r="D47" s="32" t="n">
        <v>0.0343</v>
      </c>
      <c r="E47" s="32" t="n">
        <v>0.0019</v>
      </c>
    </row>
    <row r="48">
      <c r="A48" s="31" t="inlineStr">
        <is>
          <t>2018-11-01</t>
        </is>
      </c>
      <c r="B48" s="32" t="n">
        <v>0.0171</v>
      </c>
      <c r="C48" s="32" t="n">
        <v>-0.0072</v>
      </c>
      <c r="D48" s="32" t="n">
        <v>0.0034</v>
      </c>
      <c r="E48" s="32" t="n">
        <v>0.0018</v>
      </c>
    </row>
    <row r="49">
      <c r="A49" s="31" t="inlineStr">
        <is>
          <t>2018-12-01</t>
        </is>
      </c>
      <c r="B49" s="32" t="n">
        <v>-0.0955</v>
      </c>
      <c r="C49" s="32" t="n">
        <v>-0.0233</v>
      </c>
      <c r="D49" s="32" t="n">
        <v>-0.0188</v>
      </c>
      <c r="E49" s="32" t="n">
        <v>0.0019</v>
      </c>
    </row>
    <row r="50">
      <c r="A50" s="31" t="inlineStr">
        <is>
          <t>2019-01-01</t>
        </is>
      </c>
      <c r="B50" s="32" t="n">
        <v>0.0837</v>
      </c>
      <c r="C50" s="32" t="n">
        <v>0.0273</v>
      </c>
      <c r="D50" s="32" t="n">
        <v>-0.004</v>
      </c>
      <c r="E50" s="32" t="n">
        <v>0.0021</v>
      </c>
    </row>
    <row r="51">
      <c r="A51" s="31" t="inlineStr">
        <is>
          <t>2019-02-01</t>
        </is>
      </c>
      <c r="B51" s="32" t="n">
        <v>0.0342</v>
      </c>
      <c r="C51" s="32" t="n">
        <v>0.0205</v>
      </c>
      <c r="D51" s="32" t="n">
        <v>-0.0266</v>
      </c>
      <c r="E51" s="32" t="n">
        <v>0.0018</v>
      </c>
    </row>
    <row r="52">
      <c r="A52" s="31" t="inlineStr">
        <is>
          <t>2019-03-01</t>
        </is>
      </c>
      <c r="B52" s="32" t="n">
        <v>0.011</v>
      </c>
      <c r="C52" s="32" t="n">
        <v>-0.0306</v>
      </c>
      <c r="D52" s="32" t="n">
        <v>-0.0416</v>
      </c>
      <c r="E52" s="32" t="n">
        <v>0.0019</v>
      </c>
    </row>
    <row r="53">
      <c r="A53" s="31" t="inlineStr">
        <is>
          <t>2019-04-01</t>
        </is>
      </c>
      <c r="B53" s="32" t="n">
        <v>0.0397</v>
      </c>
      <c r="C53" s="32" t="n">
        <v>-0.0169</v>
      </c>
      <c r="D53" s="32" t="n">
        <v>0.0213</v>
      </c>
      <c r="E53" s="32" t="n">
        <v>0.0021</v>
      </c>
    </row>
    <row r="54">
      <c r="A54" s="31" t="inlineStr">
        <is>
          <t>2019-05-01</t>
        </is>
      </c>
      <c r="B54" s="32" t="n">
        <v>-0.0692</v>
      </c>
      <c r="C54" s="32" t="n">
        <v>-0.0122</v>
      </c>
      <c r="D54" s="32" t="n">
        <v>-0.0236</v>
      </c>
      <c r="E54" s="32" t="n">
        <v>0.0021</v>
      </c>
    </row>
    <row r="55">
      <c r="A55" s="31" t="inlineStr">
        <is>
          <t>2019-06-01</t>
        </is>
      </c>
      <c r="B55" s="32" t="n">
        <v>0.0699</v>
      </c>
      <c r="C55" s="32" t="n">
        <v>0.001</v>
      </c>
      <c r="D55" s="32" t="n">
        <v>-0.0072</v>
      </c>
      <c r="E55" s="32" t="n">
        <v>0.0018</v>
      </c>
    </row>
    <row r="56">
      <c r="A56" s="31" t="inlineStr">
        <is>
          <t>2019-07-01</t>
        </is>
      </c>
      <c r="B56" s="32" t="n">
        <v>0.0123</v>
      </c>
      <c r="C56" s="32" t="n">
        <v>-0.0196</v>
      </c>
      <c r="D56" s="32" t="n">
        <v>0.005</v>
      </c>
      <c r="E56" s="32" t="n">
        <v>0.0019</v>
      </c>
    </row>
    <row r="57">
      <c r="A57" s="31" t="inlineStr">
        <is>
          <t>2019-08-01</t>
        </is>
      </c>
      <c r="B57" s="32" t="n">
        <v>-0.0255</v>
      </c>
      <c r="C57" s="32" t="n">
        <v>-0.0239</v>
      </c>
      <c r="D57" s="32" t="n">
        <v>-0.0477</v>
      </c>
      <c r="E57" s="32" t="n">
        <v>0.0016</v>
      </c>
    </row>
    <row r="58">
      <c r="A58" s="31" t="inlineStr">
        <is>
          <t>2019-09-01</t>
        </is>
      </c>
      <c r="B58" s="32" t="n">
        <v>0.0141</v>
      </c>
      <c r="C58" s="32" t="n">
        <v>-0.0097</v>
      </c>
      <c r="D58" s="32" t="n">
        <v>0.06759999999999999</v>
      </c>
      <c r="E58" s="32" t="n">
        <v>0.0018</v>
      </c>
    </row>
    <row r="59">
      <c r="A59" s="31" t="inlineStr">
        <is>
          <t>2019-10-01</t>
        </is>
      </c>
      <c r="B59" s="32" t="n">
        <v>0.0207</v>
      </c>
      <c r="C59" s="32" t="n">
        <v>0.0027</v>
      </c>
      <c r="D59" s="32" t="n">
        <v>-0.0192</v>
      </c>
      <c r="E59" s="32" t="n">
        <v>0.0015</v>
      </c>
    </row>
    <row r="60">
      <c r="A60" s="31" t="inlineStr">
        <is>
          <t>2019-11-01</t>
        </is>
      </c>
      <c r="B60" s="32" t="n">
        <v>0.0387</v>
      </c>
      <c r="C60" s="32" t="n">
        <v>0.0072</v>
      </c>
      <c r="D60" s="32" t="n">
        <v>-0.02</v>
      </c>
      <c r="E60" s="32" t="n">
        <v>0.0012</v>
      </c>
    </row>
    <row r="61">
      <c r="A61" s="31" t="inlineStr">
        <is>
          <t>2019-12-01</t>
        </is>
      </c>
      <c r="B61" s="32" t="n">
        <v>0.0277</v>
      </c>
      <c r="C61" s="32" t="n">
        <v>0.0076</v>
      </c>
      <c r="D61" s="32" t="n">
        <v>0.0173</v>
      </c>
      <c r="E61" s="32" t="n">
        <v>0.0014</v>
      </c>
    </row>
    <row r="62">
      <c r="A62" s="31" t="inlineStr">
        <is>
          <t>2020-01-01</t>
        </is>
      </c>
      <c r="B62" s="32" t="n">
        <v>-0.0011</v>
      </c>
      <c r="C62" s="32" t="n">
        <v>-0.031</v>
      </c>
      <c r="D62" s="32" t="n">
        <v>-0.0622</v>
      </c>
      <c r="E62" s="32" t="n">
        <v>0.0013</v>
      </c>
    </row>
    <row r="63">
      <c r="A63" s="31" t="inlineStr">
        <is>
          <t>2020-02-01</t>
        </is>
      </c>
      <c r="B63" s="32" t="n">
        <v>-0.0815</v>
      </c>
      <c r="C63" s="32" t="n">
        <v>0.0108</v>
      </c>
      <c r="D63" s="32" t="n">
        <v>-0.0382</v>
      </c>
      <c r="E63" s="32" t="n">
        <v>0.0012</v>
      </c>
    </row>
    <row r="64">
      <c r="A64" s="31" t="inlineStr">
        <is>
          <t>2020-03-01</t>
        </is>
      </c>
      <c r="B64" s="32" t="n">
        <v>-0.1337</v>
      </c>
      <c r="C64" s="32" t="n">
        <v>-0.0469</v>
      </c>
      <c r="D64" s="32" t="n">
        <v>-0.1383</v>
      </c>
      <c r="E64" s="32" t="n">
        <v>0.0012</v>
      </c>
    </row>
    <row r="65">
      <c r="A65" s="31" t="inlineStr">
        <is>
          <t>2020-04-01</t>
        </is>
      </c>
      <c r="B65" s="32" t="n">
        <v>0.136</v>
      </c>
      <c r="C65" s="32" t="n">
        <v>0.025</v>
      </c>
      <c r="D65" s="32" t="n">
        <v>-0.0134</v>
      </c>
      <c r="E65" s="32" t="n">
        <v>0</v>
      </c>
    </row>
    <row r="66">
      <c r="A66" s="31" t="inlineStr">
        <is>
          <t>2020-05-01</t>
        </is>
      </c>
      <c r="B66" s="32" t="n">
        <v>0.0557</v>
      </c>
      <c r="C66" s="32" t="n">
        <v>0.024</v>
      </c>
      <c r="D66" s="32" t="n">
        <v>-0.05</v>
      </c>
      <c r="E66" s="32" t="n">
        <v>0.0001</v>
      </c>
    </row>
    <row r="67">
      <c r="A67" s="31" t="inlineStr">
        <is>
          <t>2020-06-01</t>
        </is>
      </c>
      <c r="B67" s="32" t="n">
        <v>0.0245</v>
      </c>
      <c r="C67" s="32" t="n">
        <v>0.0267</v>
      </c>
      <c r="D67" s="32" t="n">
        <v>-0.0217</v>
      </c>
      <c r="E67" s="32" t="n">
        <v>0.0001</v>
      </c>
    </row>
    <row r="68">
      <c r="A68" s="31" t="inlineStr">
        <is>
          <t>2020-07-01</t>
        </is>
      </c>
      <c r="B68" s="32" t="n">
        <v>0.0583</v>
      </c>
      <c r="C68" s="32" t="n">
        <v>-0.0235</v>
      </c>
      <c r="D68" s="32" t="n">
        <v>-0.0144</v>
      </c>
      <c r="E68" s="32" t="n">
        <v>0.0001</v>
      </c>
    </row>
    <row r="69">
      <c r="A69" s="31" t="inlineStr">
        <is>
          <t>2020-08-01</t>
        </is>
      </c>
      <c r="B69" s="32" t="n">
        <v>0.0762</v>
      </c>
      <c r="C69" s="32" t="n">
        <v>-0.002</v>
      </c>
      <c r="D69" s="32" t="n">
        <v>-0.0302</v>
      </c>
      <c r="E69" s="32" t="n">
        <v>0.0001</v>
      </c>
    </row>
    <row r="70">
      <c r="A70" s="31" t="inlineStr">
        <is>
          <t>2020-09-01</t>
        </is>
      </c>
      <c r="B70" s="32" t="n">
        <v>-0.0364</v>
      </c>
      <c r="C70" s="32" t="n">
        <v>0.0005999999999999999</v>
      </c>
      <c r="D70" s="32" t="n">
        <v>-0.0272</v>
      </c>
      <c r="E70" s="32" t="n">
        <v>0.0001</v>
      </c>
    </row>
    <row r="71">
      <c r="A71" s="31" t="inlineStr">
        <is>
          <t>2020-10-01</t>
        </is>
      </c>
      <c r="B71" s="32" t="n">
        <v>-0.0208</v>
      </c>
      <c r="C71" s="32" t="n">
        <v>0.0434</v>
      </c>
      <c r="D71" s="32" t="n">
        <v>0.0425</v>
      </c>
      <c r="E71" s="32" t="n">
        <v>0.0001</v>
      </c>
    </row>
    <row r="72">
      <c r="A72" s="31" t="inlineStr">
        <is>
          <t>2020-11-01</t>
        </is>
      </c>
      <c r="B72" s="32" t="n">
        <v>0.1245</v>
      </c>
      <c r="C72" s="32" t="n">
        <v>0.0581</v>
      </c>
      <c r="D72" s="32" t="n">
        <v>0.0209</v>
      </c>
      <c r="E72" s="32" t="n">
        <v>0.0001</v>
      </c>
    </row>
    <row r="73">
      <c r="A73" s="31" t="inlineStr">
        <is>
          <t>2020-12-01</t>
        </is>
      </c>
      <c r="B73" s="32" t="n">
        <v>0.0463</v>
      </c>
      <c r="C73" s="32" t="n">
        <v>0.0501</v>
      </c>
      <c r="D73" s="32" t="n">
        <v>-0.0168</v>
      </c>
      <c r="E73" s="32" t="n">
        <v>0.0001</v>
      </c>
    </row>
    <row r="74">
      <c r="A74" s="31" t="inlineStr">
        <is>
          <t>2021-01-01</t>
        </is>
      </c>
      <c r="B74" s="32" t="n">
        <v>-0.0007</v>
      </c>
      <c r="C74" s="32" t="n">
        <v>0.07140000000000001</v>
      </c>
      <c r="D74" s="32" t="n">
        <v>0.0322</v>
      </c>
      <c r="E74" s="32" t="n">
        <v>0</v>
      </c>
    </row>
    <row r="75">
      <c r="A75" s="31" t="inlineStr">
        <is>
          <t>2021-02-01</t>
        </is>
      </c>
      <c r="B75" s="32" t="n">
        <v>0.0281</v>
      </c>
      <c r="C75" s="32" t="n">
        <v>0.0202</v>
      </c>
      <c r="D75" s="32" t="n">
        <v>0.07199999999999999</v>
      </c>
      <c r="E75" s="32" t="n">
        <v>0</v>
      </c>
    </row>
    <row r="76">
      <c r="A76" s="31" t="inlineStr">
        <is>
          <t>2021-03-01</t>
        </is>
      </c>
      <c r="B76" s="32" t="n">
        <v>0.0317</v>
      </c>
      <c r="C76" s="32" t="n">
        <v>-0.0233</v>
      </c>
      <c r="D76" s="32" t="n">
        <v>0.0735</v>
      </c>
      <c r="E76" s="32" t="n">
        <v>0</v>
      </c>
    </row>
    <row r="77">
      <c r="A77" s="31" t="inlineStr">
        <is>
          <t>2021-04-01</t>
        </is>
      </c>
      <c r="B77" s="32" t="n">
        <v>0.0495</v>
      </c>
      <c r="C77" s="32" t="n">
        <v>-0.0319</v>
      </c>
      <c r="D77" s="32" t="n">
        <v>-0.0102</v>
      </c>
      <c r="E77" s="32" t="n">
        <v>0</v>
      </c>
    </row>
    <row r="78">
      <c r="A78" s="31" t="inlineStr">
        <is>
          <t>2021-05-01</t>
        </is>
      </c>
      <c r="B78" s="32" t="n">
        <v>0.003</v>
      </c>
      <c r="C78" s="32" t="n">
        <v>-0.002</v>
      </c>
      <c r="D78" s="32" t="n">
        <v>0.0704</v>
      </c>
      <c r="E78" s="32" t="n">
        <v>0</v>
      </c>
    </row>
    <row r="79">
      <c r="A79" s="31" t="inlineStr">
        <is>
          <t>2021-06-01</t>
        </is>
      </c>
      <c r="B79" s="32" t="n">
        <v>0.0274</v>
      </c>
      <c r="C79" s="32" t="n">
        <v>0.017</v>
      </c>
      <c r="D79" s="32" t="n">
        <v>-0.0786</v>
      </c>
      <c r="E79" s="32" t="n">
        <v>0</v>
      </c>
    </row>
    <row r="80">
      <c r="A80" s="31" t="inlineStr">
        <is>
          <t>2021-07-01</t>
        </is>
      </c>
      <c r="B80" s="32" t="n">
        <v>0.0134</v>
      </c>
      <c r="C80" s="32" t="n">
        <v>-0.0393</v>
      </c>
      <c r="D80" s="32" t="n">
        <v>-0.018</v>
      </c>
      <c r="E80" s="32" t="n">
        <v>0</v>
      </c>
    </row>
    <row r="81">
      <c r="A81" s="31" t="inlineStr">
        <is>
          <t>2021-08-01</t>
        </is>
      </c>
      <c r="B81" s="32" t="n">
        <v>0.0294</v>
      </c>
      <c r="C81" s="32" t="n">
        <v>-0.0032</v>
      </c>
      <c r="D81" s="32" t="n">
        <v>-0.0023</v>
      </c>
      <c r="E81" s="32" t="n">
        <v>0</v>
      </c>
    </row>
    <row r="82">
      <c r="A82" s="31" t="inlineStr">
        <is>
          <t>2021-09-01</t>
        </is>
      </c>
      <c r="B82" s="32" t="n">
        <v>-0.044</v>
      </c>
      <c r="C82" s="32" t="n">
        <v>0.0066</v>
      </c>
      <c r="D82" s="32" t="n">
        <v>0.0512</v>
      </c>
      <c r="E82" s="32" t="n">
        <v>0</v>
      </c>
    </row>
    <row r="83">
      <c r="A83" s="31" t="inlineStr">
        <is>
          <t>2021-10-01</t>
        </is>
      </c>
      <c r="B83" s="32" t="n">
        <v>0.0663</v>
      </c>
      <c r="C83" s="32" t="n">
        <v>-0.0226</v>
      </c>
      <c r="D83" s="32" t="n">
        <v>-0.0053</v>
      </c>
      <c r="E83" s="32" t="n">
        <v>0</v>
      </c>
    </row>
    <row r="84">
      <c r="A84" s="31" t="inlineStr">
        <is>
          <t>2021-11-01</t>
        </is>
      </c>
      <c r="B84" s="32" t="n">
        <v>-0.0158</v>
      </c>
      <c r="C84" s="32" t="n">
        <v>-0.0131</v>
      </c>
      <c r="D84" s="32" t="n">
        <v>-0.0037</v>
      </c>
      <c r="E84" s="32" t="n">
        <v>0</v>
      </c>
    </row>
    <row r="85">
      <c r="A85" s="31" t="inlineStr">
        <is>
          <t>2021-12-01</t>
        </is>
      </c>
      <c r="B85" s="32" t="n">
        <v>0.0323</v>
      </c>
      <c r="C85" s="32" t="n">
        <v>-0.0163</v>
      </c>
      <c r="D85" s="32" t="n">
        <v>0.0325</v>
      </c>
      <c r="E85" s="32" t="n">
        <v>0.0001</v>
      </c>
    </row>
    <row r="86">
      <c r="A86" s="31" t="inlineStr">
        <is>
          <t>2022-01-01</t>
        </is>
      </c>
      <c r="B86" s="32" t="n">
        <v>-0.0616</v>
      </c>
      <c r="C86" s="32" t="n">
        <v>-0.0593</v>
      </c>
      <c r="D86" s="32" t="n">
        <v>0.1286</v>
      </c>
      <c r="E86" s="32" t="n">
        <v>0</v>
      </c>
    </row>
    <row r="87">
      <c r="A87" s="31" t="inlineStr">
        <is>
          <t>2022-02-01</t>
        </is>
      </c>
      <c r="B87" s="32" t="n">
        <v>-0.0228</v>
      </c>
      <c r="C87" s="32" t="n">
        <v>0.0216</v>
      </c>
      <c r="D87" s="32" t="n">
        <v>0.0306</v>
      </c>
      <c r="E87" s="32" t="n">
        <v>0</v>
      </c>
    </row>
    <row r="88">
      <c r="A88" s="31" t="inlineStr">
        <is>
          <t>2022-03-01</t>
        </is>
      </c>
      <c r="B88" s="32" t="n">
        <v>0.0308</v>
      </c>
      <c r="C88" s="32" t="n">
        <v>-0.0155</v>
      </c>
      <c r="D88" s="32" t="n">
        <v>-0.019</v>
      </c>
      <c r="E88" s="32" t="n">
        <v>0</v>
      </c>
    </row>
    <row r="89">
      <c r="A89" s="31" t="inlineStr">
        <is>
          <t>2022-04-01</t>
        </is>
      </c>
      <c r="B89" s="32" t="n">
        <v>-0.0941</v>
      </c>
      <c r="C89" s="32" t="n">
        <v>-0.0135</v>
      </c>
      <c r="D89" s="32" t="n">
        <v>0.0618</v>
      </c>
      <c r="E89" s="32" t="n">
        <v>0</v>
      </c>
    </row>
    <row r="90">
      <c r="A90" s="31" t="inlineStr">
        <is>
          <t>2022-05-01</t>
        </is>
      </c>
      <c r="B90" s="32" t="n">
        <v>-0.0034</v>
      </c>
      <c r="C90" s="32" t="n">
        <v>-0.0184</v>
      </c>
      <c r="D90" s="32" t="n">
        <v>0.0844</v>
      </c>
      <c r="E90" s="32" t="n">
        <v>0.0003</v>
      </c>
    </row>
    <row r="91">
      <c r="A91" s="31" t="inlineStr">
        <is>
          <t>2022-06-01</t>
        </is>
      </c>
      <c r="B91" s="32" t="n">
        <v>-0.08400000000000001</v>
      </c>
      <c r="C91" s="32" t="n">
        <v>0.0207</v>
      </c>
      <c r="D91" s="32" t="n">
        <v>-0.06</v>
      </c>
      <c r="E91" s="32" t="n">
        <v>0.0005999999999999999</v>
      </c>
    </row>
    <row r="92">
      <c r="A92" s="31" t="inlineStr">
        <is>
          <t>2022-07-01</t>
        </is>
      </c>
      <c r="B92" s="32" t="n">
        <v>0.09569999999999999</v>
      </c>
      <c r="C92" s="32" t="n">
        <v>0.0286</v>
      </c>
      <c r="D92" s="32" t="n">
        <v>-0.0413</v>
      </c>
      <c r="E92" s="32" t="n">
        <v>0.0008</v>
      </c>
    </row>
    <row r="93">
      <c r="A93" s="31" t="inlineStr">
        <is>
          <t>2022-08-01</t>
        </is>
      </c>
      <c r="B93" s="32" t="n">
        <v>-0.0377</v>
      </c>
      <c r="C93" s="32" t="n">
        <v>0.0141</v>
      </c>
      <c r="D93" s="32" t="n">
        <v>0.0018</v>
      </c>
      <c r="E93" s="32" t="n">
        <v>0.0019</v>
      </c>
    </row>
    <row r="94">
      <c r="A94" s="31" t="inlineStr">
        <is>
          <t>2022-09-01</t>
        </is>
      </c>
      <c r="B94" s="32" t="n">
        <v>-0.0934</v>
      </c>
      <c r="C94" s="32" t="n">
        <v>-0.0076</v>
      </c>
      <c r="D94" s="32" t="n">
        <v>0.0003</v>
      </c>
      <c r="E94" s="32" t="n">
        <v>0.0019</v>
      </c>
    </row>
    <row r="95">
      <c r="A95" s="31" t="inlineStr">
        <is>
          <t>2022-10-01</t>
        </is>
      </c>
      <c r="B95" s="32" t="n">
        <v>0.0785</v>
      </c>
      <c r="C95" s="32" t="n">
        <v>0.0001</v>
      </c>
      <c r="D95" s="32" t="n">
        <v>0.07969999999999999</v>
      </c>
      <c r="E95" s="32" t="n">
        <v>0.0023</v>
      </c>
    </row>
    <row r="96">
      <c r="A96" s="31" t="inlineStr">
        <is>
          <t>2022-11-01</t>
        </is>
      </c>
      <c r="B96" s="32" t="n">
        <v>0.0465</v>
      </c>
      <c r="C96" s="32" t="n">
        <v>-0.0357</v>
      </c>
      <c r="D96" s="32" t="n">
        <v>0.0148</v>
      </c>
      <c r="E96" s="32" t="n">
        <v>0.0029</v>
      </c>
    </row>
    <row r="97">
      <c r="A97" s="31" t="inlineStr">
        <is>
          <t>2022-12-01</t>
        </is>
      </c>
      <c r="B97" s="32" t="n">
        <v>-0.0638</v>
      </c>
      <c r="C97" s="32" t="n">
        <v>-0.0076</v>
      </c>
      <c r="D97" s="32" t="n">
        <v>0.0134</v>
      </c>
      <c r="E97" s="32" t="n">
        <v>0.0033</v>
      </c>
    </row>
    <row r="99">
      <c r="A99" s="44" t="inlineStr">
        <is>
          <t>Mean (Monthly)</t>
        </is>
      </c>
      <c r="B99" s="45">
        <f>AVERAGE(B2:B97)</f>
        <v/>
      </c>
      <c r="C99" s="45">
        <f>AVERAGE(C2:C97)</f>
        <v/>
      </c>
      <c r="D99" s="45">
        <f>AVERAGE(D2:D97)</f>
        <v/>
      </c>
      <c r="E99" s="45">
        <f>AVERAGE(E2:E97)</f>
        <v/>
      </c>
    </row>
    <row r="100">
      <c r="A100" s="44" t="inlineStr">
        <is>
          <t>Ann. Mean (x12)</t>
        </is>
      </c>
      <c r="B100" s="45">
        <f>AVERAGE(B2:B97)*12</f>
        <v/>
      </c>
      <c r="C100" s="45">
        <f>AVERAGE(C2:C97)*12</f>
        <v/>
      </c>
      <c r="D100" s="45">
        <f>AVERAGE(D2:D97)*12</f>
        <v/>
      </c>
      <c r="E100" s="45">
        <f>AVERAGE(E2:E97)*12</f>
        <v/>
      </c>
    </row>
    <row r="101">
      <c r="A101" s="44" t="inlineStr">
        <is>
          <t>Ann. Volatility</t>
        </is>
      </c>
      <c r="B101" s="45">
        <f>STDEV(B2:B97)*SQRT(12)</f>
        <v/>
      </c>
      <c r="C101" s="45">
        <f>STDEV(C2:C97)*SQRT(12)</f>
        <v/>
      </c>
      <c r="D101" s="45">
        <f>STDEV(D2:D97)*SQRT(12)</f>
        <v/>
      </c>
      <c r="E101" s="45">
        <f>STDEV(E2:E97)*SQRT(12)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5" customWidth="1" min="4" max="4"/>
    <col width="15" customWidth="1" min="5" max="5"/>
    <col width="14" customWidth="1" min="6" max="6"/>
    <col width="12" customWidth="1" min="7" max="7"/>
    <col width="12" customWidth="1" min="8" max="8"/>
    <col width="15" customWidth="1" min="9" max="9"/>
    <col width="15" customWidth="1" min="10" max="10"/>
    <col width="14" customWidth="1" min="11" max="11"/>
    <col width="12" customWidth="1" min="12" max="12"/>
    <col width="14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  <col width="15" customWidth="1" min="19" max="19"/>
    <col width="12" customWidth="1" min="20" max="20"/>
    <col width="12" customWidth="1" min="21" max="21"/>
    <col width="16" customWidth="1" min="22" max="22"/>
    <col width="14" customWidth="1" min="23" max="23"/>
    <col width="54" customWidth="1" min="24" max="24"/>
  </cols>
  <sheetData>
    <row r="1" ht="28" customHeight="1">
      <c r="A1" s="1" t="inlineStr">
        <is>
          <t>MULTIFACTOR REGRESSION – SINGLE-INDEX (CAPM) VS. FAMA-FRENCH 3-FACTOR MODEL (96 MONTHS: JAN 2015 – DEC 2022, ALL 39 TICKERS)</t>
        </is>
      </c>
    </row>
    <row r="2" ht="22" customHeight="1">
      <c r="A2" s="2" t="inlineStr">
        <is>
          <t>Addresses Section 4.3 Rubric: (1) Fixes 95-month bug &amp; 10-ticker mismatch; (2) Compares CAPM vs. FF3 to test whether Growth outperformance persists after controlling for Size (SMB) &amp; Value (HML); (3) Reports 95% CIs, t-stats, p-values &amp; Variance Decomposition.</t>
        </is>
      </c>
    </row>
    <row r="4" ht="30" customHeight="1">
      <c r="A4" s="3" t="inlineStr">
        <is>
          <t>Ticker</t>
        </is>
      </c>
      <c r="B4" s="3" t="inlineStr">
        <is>
          <t>Sector / Type</t>
        </is>
      </c>
      <c r="C4" s="3" t="inlineStr">
        <is>
          <t>Endowment Tier</t>
        </is>
      </c>
      <c r="D4" s="3" t="inlineStr">
        <is>
          <t>FF3 Alpha (Monthly)</t>
        </is>
      </c>
      <c r="E4" s="3" t="inlineStr">
        <is>
          <t>FF3 Alpha (Ann. = 12*α)</t>
        </is>
      </c>
      <c r="F4" s="3" t="inlineStr">
        <is>
          <t>Alpha Std Error</t>
        </is>
      </c>
      <c r="G4" s="3" t="inlineStr">
        <is>
          <t>Alpha t-Stat</t>
        </is>
      </c>
      <c r="H4" s="3" t="inlineStr">
        <is>
          <t>Alpha p-Value</t>
        </is>
      </c>
      <c r="I4" s="3" t="inlineStr">
        <is>
          <t>95% CI Lower (Monthly)</t>
        </is>
      </c>
      <c r="J4" s="3" t="inlineStr">
        <is>
          <t>95% CI Upper (Monthly)</t>
        </is>
      </c>
      <c r="K4" s="3" t="inlineStr">
        <is>
          <t>Beta_Mkt (Mkt-RF)</t>
        </is>
      </c>
      <c r="L4" s="3" t="inlineStr">
        <is>
          <t>t-Stat (Mkt)</t>
        </is>
      </c>
      <c r="M4" s="3" t="inlineStr">
        <is>
          <t>Beta_SMB (Size)</t>
        </is>
      </c>
      <c r="N4" s="3" t="inlineStr">
        <is>
          <t>p-Val (SMB)</t>
        </is>
      </c>
      <c r="O4" s="3" t="inlineStr">
        <is>
          <t>Beta_HML (Value/Growth)</t>
        </is>
      </c>
      <c r="P4" s="3" t="inlineStr">
        <is>
          <t>p-Val (HML)</t>
        </is>
      </c>
      <c r="Q4" s="3" t="inlineStr">
        <is>
          <t>FF3 R²</t>
        </is>
      </c>
      <c r="R4" s="3" t="inlineStr">
        <is>
          <t>FF3 Adj. R²</t>
        </is>
      </c>
      <c r="S4" s="3" t="inlineStr">
        <is>
          <t>CAPM Alpha (Ann.)</t>
        </is>
      </c>
      <c r="T4" s="3" t="inlineStr">
        <is>
          <t>CAPM Beta</t>
        </is>
      </c>
      <c r="U4" s="3" t="inlineStr">
        <is>
          <t>CAPM R²</t>
        </is>
      </c>
      <c r="V4" s="3" t="inlineStr">
        <is>
          <t>Sys. Risk Share (β²σ_m²/σ_i²)</t>
        </is>
      </c>
      <c r="W4" s="3" t="inlineStr">
        <is>
          <t>Idio. Vol (Ann.)</t>
        </is>
      </c>
      <c r="X4" s="3" t="inlineStr">
        <is>
          <t>Statistical Inference &amp; Factor Attribution (95% Confidence Level)</t>
        </is>
      </c>
    </row>
    <row r="5" ht="22" customHeight="1">
      <c r="A5" s="10" t="inlineStr">
        <is>
          <t>MSFT</t>
        </is>
      </c>
      <c r="B5" s="5" t="inlineStr">
        <is>
          <t>NASDAQ</t>
        </is>
      </c>
      <c r="C5" s="19" t="inlineStr">
        <is>
          <t>Tier 3</t>
        </is>
      </c>
      <c r="D5" s="16" t="n">
        <v>0.01067282680292118</v>
      </c>
      <c r="E5" s="15">
        <f>D5*12</f>
        <v/>
      </c>
      <c r="F5" s="21" t="n">
        <v>0.00432948080528276</v>
      </c>
      <c r="G5" s="46" t="n">
        <v>2.465151662041873</v>
      </c>
      <c r="H5" s="47" t="n">
        <v>0.01555081576514472</v>
      </c>
      <c r="I5" s="21" t="n">
        <v>0.002074104216046533</v>
      </c>
      <c r="J5" s="21" t="n">
        <v>0.01927154938979583</v>
      </c>
      <c r="K5" s="38" t="n">
        <v>1.059842671727541</v>
      </c>
      <c r="L5" s="22" t="n">
        <v>11.39220872323463</v>
      </c>
      <c r="M5" s="22" t="n">
        <v>-0.6209136512477497</v>
      </c>
      <c r="N5" s="48" t="n">
        <v>0.0004367556770326075</v>
      </c>
      <c r="O5" s="38" t="n">
        <v>-0.3648879127250521</v>
      </c>
      <c r="P5" s="48" t="n">
        <v>0.001462646207641471</v>
      </c>
      <c r="Q5" s="20" t="n">
        <v>0.6018343415337263</v>
      </c>
      <c r="R5" s="21" t="n">
        <v>0.5888506787576522</v>
      </c>
      <c r="S5" s="21" t="n">
        <v>0.1447462505939749</v>
      </c>
      <c r="T5" s="22" t="n">
        <v>0.9592905261649111</v>
      </c>
      <c r="U5" s="21" t="n">
        <v>0.4954634668292212</v>
      </c>
      <c r="V5" s="21" t="n">
        <v>0.4954634668292217</v>
      </c>
      <c r="W5" s="21" t="n">
        <v>0.1599112330760781</v>
      </c>
      <c r="X5" s="13" t="inlineStr">
        <is>
          <t>SIGNIFICANT POSITIVE ALPHA (p=0.0156 &lt; 0.05; 95% CI excludes 0) | Growth Tilt (HML&lt;0)</t>
        </is>
      </c>
    </row>
    <row r="6" ht="22" customHeight="1">
      <c r="A6" s="7" t="inlineStr">
        <is>
          <t>JNJ</t>
        </is>
      </c>
      <c r="B6" s="8" t="inlineStr">
        <is>
          <t>NYSE</t>
        </is>
      </c>
      <c r="C6" s="24" t="inlineStr">
        <is>
          <t>Tier 2</t>
        </is>
      </c>
      <c r="D6" s="26" t="n">
        <v>0.002900104824188413</v>
      </c>
      <c r="E6" s="25">
        <f>D6*12</f>
        <v/>
      </c>
      <c r="F6" s="26" t="n">
        <v>0.003790186674398595</v>
      </c>
      <c r="G6" s="41" t="n">
        <v>0.7651614744407241</v>
      </c>
      <c r="H6" s="49" t="n">
        <v>0.4461338203250693</v>
      </c>
      <c r="I6" s="26" t="n">
        <v>-0.004627533068525144</v>
      </c>
      <c r="J6" s="26" t="n">
        <v>0.01042774271690197</v>
      </c>
      <c r="K6" s="41" t="n">
        <v>0.5867663022559521</v>
      </c>
      <c r="L6" s="27" t="n">
        <v>7.204550913306998</v>
      </c>
      <c r="M6" s="27" t="n">
        <v>-0.4334783845181429</v>
      </c>
      <c r="N6" s="50" t="n">
        <v>0.004534616446295159</v>
      </c>
      <c r="O6" s="41" t="n">
        <v>0.03749303515419153</v>
      </c>
      <c r="P6" s="50" t="n">
        <v>0.7010615059242229</v>
      </c>
      <c r="Q6" s="25" t="n">
        <v>0.3668417266974187</v>
      </c>
      <c r="R6" s="26" t="n">
        <v>0.3461952612636389</v>
      </c>
      <c r="S6" s="26" t="n">
        <v>0.04399256015842269</v>
      </c>
      <c r="T6" s="27" t="n">
        <v>0.5249369813411376</v>
      </c>
      <c r="U6" s="26" t="n">
        <v>0.307839672226545</v>
      </c>
      <c r="V6" s="26" t="n">
        <v>0.3078396722265453</v>
      </c>
      <c r="W6" s="26" t="n">
        <v>0.1300279013674824</v>
      </c>
      <c r="X6" s="8" t="inlineStr">
        <is>
          <t>Alpha Indistinguishable from Zero (p=0.45); Returns Explained by Factor Betas | Core/Neutral HML</t>
        </is>
      </c>
    </row>
    <row r="7" ht="22" customHeight="1">
      <c r="A7" s="10" t="inlineStr">
        <is>
          <t>UNH</t>
        </is>
      </c>
      <c r="B7" s="5" t="inlineStr">
        <is>
          <t>NYSE</t>
        </is>
      </c>
      <c r="C7" s="19" t="inlineStr">
        <is>
          <t>Tier 2/3</t>
        </is>
      </c>
      <c r="D7" s="16" t="n">
        <v>0.01395995377210188</v>
      </c>
      <c r="E7" s="15">
        <f>D7*12</f>
        <v/>
      </c>
      <c r="F7" s="21" t="n">
        <v>0.005234762490854066</v>
      </c>
      <c r="G7" s="46" t="n">
        <v>2.666778826449541</v>
      </c>
      <c r="H7" s="47" t="n">
        <v>0.009047975484692605</v>
      </c>
      <c r="I7" s="21" t="n">
        <v>0.003563263616527606</v>
      </c>
      <c r="J7" s="21" t="n">
        <v>0.02435664392767616</v>
      </c>
      <c r="K7" s="38" t="n">
        <v>0.6802591404689083</v>
      </c>
      <c r="L7" s="22" t="n">
        <v>6.047553997250319</v>
      </c>
      <c r="M7" s="22" t="n">
        <v>-0.06680646271607092</v>
      </c>
      <c r="N7" s="48" t="n">
        <v>0.7461451556477954</v>
      </c>
      <c r="O7" s="38" t="n">
        <v>-0.03030801543377332</v>
      </c>
      <c r="P7" s="48" t="n">
        <v>0.8221777371619559</v>
      </c>
      <c r="Q7" s="20" t="n">
        <v>0.2940706028430321</v>
      </c>
      <c r="R7" s="21" t="n">
        <v>0.271051165979218</v>
      </c>
      <c r="S7" s="21" t="n">
        <v>0.1692382928255662</v>
      </c>
      <c r="T7" s="22" t="n">
        <v>0.6696967161087738</v>
      </c>
      <c r="U7" s="21" t="n">
        <v>0.2928483667910426</v>
      </c>
      <c r="V7" s="21" t="n">
        <v>0.2928483667910428</v>
      </c>
      <c r="W7" s="21" t="n">
        <v>0.171910089520613</v>
      </c>
      <c r="X7" s="13" t="inlineStr">
        <is>
          <t>SIGNIFICANT POSITIVE ALPHA (p=0.0090 &lt; 0.05; 95% CI excludes 0) | Core/Neutral HML</t>
        </is>
      </c>
    </row>
    <row r="8" ht="22" customHeight="1">
      <c r="A8" s="7" t="inlineStr">
        <is>
          <t>JPM</t>
        </is>
      </c>
      <c r="B8" s="8" t="inlineStr">
        <is>
          <t>NYSE</t>
        </is>
      </c>
      <c r="C8" s="24" t="inlineStr">
        <is>
          <t>Tier 3</t>
        </is>
      </c>
      <c r="D8" s="26" t="n">
        <v>0.003522944358450852</v>
      </c>
      <c r="E8" s="25">
        <f>D8*12</f>
        <v/>
      </c>
      <c r="F8" s="26" t="n">
        <v>0.003844683191208508</v>
      </c>
      <c r="G8" s="41" t="n">
        <v>0.9163159051717539</v>
      </c>
      <c r="H8" s="49" t="n">
        <v>0.3618969312411311</v>
      </c>
      <c r="I8" s="26" t="n">
        <v>-0.004112928320620372</v>
      </c>
      <c r="J8" s="26" t="n">
        <v>0.01115881703752208</v>
      </c>
      <c r="K8" s="41" t="n">
        <v>1.107931404302855</v>
      </c>
      <c r="L8" s="27" t="n">
        <v>13.41079933641377</v>
      </c>
      <c r="M8" s="27" t="n">
        <v>0.09531974688055639</v>
      </c>
      <c r="N8" s="50" t="n">
        <v>0.5297431100220882</v>
      </c>
      <c r="O8" s="41" t="n">
        <v>0.8428492419986198</v>
      </c>
      <c r="P8" s="50" t="n">
        <v>2.760014439218139e-13</v>
      </c>
      <c r="Q8" s="25" t="n">
        <v>0.7531047509391984</v>
      </c>
      <c r="R8" s="26" t="n">
        <v>0.745053818904607</v>
      </c>
      <c r="S8" s="26" t="n">
        <v>0.03312424863134755</v>
      </c>
      <c r="T8" s="27" t="n">
        <v>1.145901549886069</v>
      </c>
      <c r="U8" s="26" t="n">
        <v>0.5559111596363444</v>
      </c>
      <c r="V8" s="26" t="n">
        <v>0.5559111596363452</v>
      </c>
      <c r="W8" s="26" t="n">
        <v>0.1691873415777934</v>
      </c>
      <c r="X8" s="8" t="inlineStr">
        <is>
          <t>Alpha Indistinguishable from Zero (p=0.36); Returns Explained by Factor Betas | Value Tilt (HML&gt;0)</t>
        </is>
      </c>
    </row>
    <row r="9" ht="22" customHeight="1">
      <c r="A9" s="4" t="inlineStr">
        <is>
          <t>PG</t>
        </is>
      </c>
      <c r="B9" s="5" t="inlineStr">
        <is>
          <t>NYSE</t>
        </is>
      </c>
      <c r="C9" s="19" t="inlineStr">
        <is>
          <t>Tier 2</t>
        </is>
      </c>
      <c r="D9" s="21" t="n">
        <v>0.003828074148135844</v>
      </c>
      <c r="E9" s="20">
        <f>D9*12</f>
        <v/>
      </c>
      <c r="F9" s="21" t="n">
        <v>0.004107921344006952</v>
      </c>
      <c r="G9" s="38" t="n">
        <v>0.9318762039396453</v>
      </c>
      <c r="H9" s="51" t="n">
        <v>0.3538395725853238</v>
      </c>
      <c r="I9" s="21" t="n">
        <v>-0.004330612224307858</v>
      </c>
      <c r="J9" s="21" t="n">
        <v>0.01198676052057955</v>
      </c>
      <c r="K9" s="38" t="n">
        <v>0.4642052845171765</v>
      </c>
      <c r="L9" s="22" t="n">
        <v>5.258844283838505</v>
      </c>
      <c r="M9" s="22" t="n">
        <v>-0.671534116126366</v>
      </c>
      <c r="N9" s="48" t="n">
        <v>7.165765889594056e-05</v>
      </c>
      <c r="O9" s="38" t="n">
        <v>0.04415642689329714</v>
      </c>
      <c r="P9" s="48" t="n">
        <v>0.6765950629917628</v>
      </c>
      <c r="Q9" s="20" t="n">
        <v>0.2819559019854965</v>
      </c>
      <c r="R9" s="21" t="n">
        <v>0.2585414205285018</v>
      </c>
      <c r="S9" s="21" t="n">
        <v>0.06029250163107097</v>
      </c>
      <c r="T9" s="22" t="n">
        <v>0.3680219653004924</v>
      </c>
      <c r="U9" s="21" t="n">
        <v>0.1460742018889405</v>
      </c>
      <c r="V9" s="21" t="n">
        <v>0.1460742018889407</v>
      </c>
      <c r="W9" s="21" t="n">
        <v>0.1469891817174003</v>
      </c>
      <c r="X9" s="5" t="inlineStr">
        <is>
          <t>Alpha Indistinguishable from Zero (p=0.35); Returns Explained by Factor Betas | Core/Neutral HML</t>
        </is>
      </c>
    </row>
    <row r="10" ht="22" customHeight="1">
      <c r="A10" s="7" t="inlineStr">
        <is>
          <t>XOM</t>
        </is>
      </c>
      <c r="B10" s="8" t="inlineStr">
        <is>
          <t>NYSE</t>
        </is>
      </c>
      <c r="C10" s="24" t="inlineStr">
        <is>
          <t>Tier 1/3</t>
        </is>
      </c>
      <c r="D10" s="26" t="n">
        <v>0.001289712449201582</v>
      </c>
      <c r="E10" s="25">
        <f>D10*12</f>
        <v/>
      </c>
      <c r="F10" s="26" t="n">
        <v>0.005506067363910203</v>
      </c>
      <c r="G10" s="41" t="n">
        <v>0.2342347748331354</v>
      </c>
      <c r="H10" s="49" t="n">
        <v>0.8153231998812112</v>
      </c>
      <c r="I10" s="26" t="n">
        <v>-0.009645812602471651</v>
      </c>
      <c r="J10" s="26" t="n">
        <v>0.01222523750087482</v>
      </c>
      <c r="K10" s="41" t="n">
        <v>0.9416826405212952</v>
      </c>
      <c r="L10" s="27" t="n">
        <v>7.959126268108234</v>
      </c>
      <c r="M10" s="27" t="n">
        <v>0.3409279639989941</v>
      </c>
      <c r="N10" s="50" t="n">
        <v>0.1186040963246959</v>
      </c>
      <c r="O10" s="41" t="n">
        <v>1.106429068859278</v>
      </c>
      <c r="P10" s="50" t="n">
        <v>8.40771896548631e-12</v>
      </c>
      <c r="Q10" s="25" t="n">
        <v>0.6112842017416986</v>
      </c>
      <c r="R10" s="26" t="n">
        <v>0.5986086865811018</v>
      </c>
      <c r="S10" s="26" t="n">
        <v>-0.001268394575251867</v>
      </c>
      <c r="T10" s="27" t="n">
        <v>1.022842146839878</v>
      </c>
      <c r="U10" s="26" t="n">
        <v>0.340005188596926</v>
      </c>
      <c r="V10" s="26" t="n">
        <v>0.3400051885969264</v>
      </c>
      <c r="W10" s="26" t="n">
        <v>0.2354097409232179</v>
      </c>
      <c r="X10" s="8" t="inlineStr">
        <is>
          <t>Alpha Indistinguishable from Zero (p=0.82); Returns Explained by Factor Betas | Value Tilt (HML&gt;0)</t>
        </is>
      </c>
    </row>
    <row r="11" ht="22" customHeight="1">
      <c r="A11" s="4" t="inlineStr">
        <is>
          <t>HD</t>
        </is>
      </c>
      <c r="B11" s="5" t="inlineStr">
        <is>
          <t>NYSE</t>
        </is>
      </c>
      <c r="C11" s="19" t="inlineStr">
        <is>
          <t>Tier 3</t>
        </is>
      </c>
      <c r="D11" s="21" t="n">
        <v>0.006767568522574645</v>
      </c>
      <c r="E11" s="20">
        <f>D11*12</f>
        <v/>
      </c>
      <c r="F11" s="21" t="n">
        <v>0.004684204979416916</v>
      </c>
      <c r="G11" s="38" t="n">
        <v>1.444763530270843</v>
      </c>
      <c r="H11" s="51" t="n">
        <v>0.1519217028278386</v>
      </c>
      <c r="I11" s="21" t="n">
        <v>-0.002535666892839641</v>
      </c>
      <c r="J11" s="21" t="n">
        <v>0.01607080393798893</v>
      </c>
      <c r="K11" s="38" t="n">
        <v>0.9352451068057879</v>
      </c>
      <c r="L11" s="22" t="n">
        <v>9.291629921820647</v>
      </c>
      <c r="M11" s="22" t="n">
        <v>-0.1624047990812501</v>
      </c>
      <c r="N11" s="48" t="n">
        <v>0.3800148948623003</v>
      </c>
      <c r="O11" s="38" t="n">
        <v>-0.05255372726071633</v>
      </c>
      <c r="P11" s="48" t="n">
        <v>0.6633130802200049</v>
      </c>
      <c r="Q11" s="20" t="n">
        <v>0.4917848004045617</v>
      </c>
      <c r="R11" s="21" t="n">
        <v>0.4752125656351452</v>
      </c>
      <c r="S11" s="21" t="n">
        <v>0.08521232986985273</v>
      </c>
      <c r="T11" s="22" t="n">
        <v>0.9101730949311977</v>
      </c>
      <c r="U11" s="21" t="n">
        <v>0.4863433897190943</v>
      </c>
      <c r="V11" s="21" t="n">
        <v>0.4863433897190951</v>
      </c>
      <c r="W11" s="21" t="n">
        <v>0.1545173500237823</v>
      </c>
      <c r="X11" s="5" t="inlineStr">
        <is>
          <t>Alpha Indistinguishable from Zero (p=0.15); Returns Explained by Factor Betas | Core/Neutral HML</t>
        </is>
      </c>
    </row>
    <row r="12" ht="22" customHeight="1">
      <c r="A12" s="10" t="inlineStr">
        <is>
          <t>NEE</t>
        </is>
      </c>
      <c r="B12" s="8" t="inlineStr">
        <is>
          <t>NYSE</t>
        </is>
      </c>
      <c r="C12" s="24" t="inlineStr">
        <is>
          <t>Tier 2</t>
        </is>
      </c>
      <c r="D12" s="16" t="n">
        <v>0.0104440338922256</v>
      </c>
      <c r="E12" s="15">
        <f>D12*12</f>
        <v/>
      </c>
      <c r="F12" s="26" t="n">
        <v>0.004887386985127812</v>
      </c>
      <c r="G12" s="46" t="n">
        <v>2.136936142770465</v>
      </c>
      <c r="H12" s="47" t="n">
        <v>0.03525621005434987</v>
      </c>
      <c r="I12" s="26" t="n">
        <v>0.0007372614754182147</v>
      </c>
      <c r="J12" s="26" t="n">
        <v>0.02015080630903298</v>
      </c>
      <c r="K12" s="41" t="n">
        <v>0.4737384929567994</v>
      </c>
      <c r="L12" s="27" t="n">
        <v>4.510911396947106</v>
      </c>
      <c r="M12" s="27" t="n">
        <v>-0.4785937417301516</v>
      </c>
      <c r="N12" s="50" t="n">
        <v>0.01451434889864522</v>
      </c>
      <c r="O12" s="41" t="n">
        <v>-0.4553413213326212</v>
      </c>
      <c r="P12" s="50" t="n">
        <v>0.0004705784657526024</v>
      </c>
      <c r="Q12" s="25" t="n">
        <v>0.2737757189448699</v>
      </c>
      <c r="R12" s="26" t="n">
        <v>0.2500944923887244</v>
      </c>
      <c r="S12" s="26" t="n">
        <v>0.1396376828368467</v>
      </c>
      <c r="T12" s="27" t="n">
        <v>0.3912482609252333</v>
      </c>
      <c r="U12" s="26" t="n">
        <v>0.1179617789101904</v>
      </c>
      <c r="V12" s="26" t="n">
        <v>0.1179617789101906</v>
      </c>
      <c r="W12" s="26" t="n">
        <v>0.1767314301053418</v>
      </c>
      <c r="X12" s="13" t="inlineStr">
        <is>
          <t>SIGNIFICANT POSITIVE ALPHA (p=0.0353 &lt; 0.05; 95% CI excludes 0) | Growth Tilt (HML&lt;0)</t>
        </is>
      </c>
    </row>
    <row r="13" ht="22" customHeight="1">
      <c r="A13" s="4" t="inlineStr">
        <is>
          <t>USMV</t>
        </is>
      </c>
      <c r="B13" s="5" t="inlineStr">
        <is>
          <t>ETF (Cboe BZX)</t>
        </is>
      </c>
      <c r="C13" s="19" t="inlineStr">
        <is>
          <t>Tier 2</t>
        </is>
      </c>
      <c r="D13" s="21" t="n">
        <v>0.001237931532988324</v>
      </c>
      <c r="E13" s="20">
        <f>D13*12</f>
        <v/>
      </c>
      <c r="F13" s="21" t="n">
        <v>0.001528306404913666</v>
      </c>
      <c r="G13" s="38" t="n">
        <v>0.8100021887026347</v>
      </c>
      <c r="H13" s="51" t="n">
        <v>0.420029111523867</v>
      </c>
      <c r="I13" s="21" t="n">
        <v>-0.00179741690591948</v>
      </c>
      <c r="J13" s="21" t="n">
        <v>0.004273279971896129</v>
      </c>
      <c r="K13" s="38" t="n">
        <v>0.7424684028110394</v>
      </c>
      <c r="L13" s="22" t="n">
        <v>22.60840339638013</v>
      </c>
      <c r="M13" s="22" t="n">
        <v>-0.2950693046705689</v>
      </c>
      <c r="N13" s="48" t="n">
        <v>3.897601229541081e-06</v>
      </c>
      <c r="O13" s="38" t="n">
        <v>-0.04588156230734927</v>
      </c>
      <c r="P13" s="48" t="n">
        <v>0.2455503517824558</v>
      </c>
      <c r="Q13" s="20" t="n">
        <v>0.8478366197208933</v>
      </c>
      <c r="R13" s="21" t="n">
        <v>0.8428747703639659</v>
      </c>
      <c r="S13" s="21" t="n">
        <v>0.02170988314871959</v>
      </c>
      <c r="T13" s="22" t="n">
        <v>0.6983362133662695</v>
      </c>
      <c r="U13" s="21" t="n">
        <v>0.8052626799452155</v>
      </c>
      <c r="V13" s="21" t="n">
        <v>0.8052626799452165</v>
      </c>
      <c r="W13" s="21" t="n">
        <v>0.05672946632864349</v>
      </c>
      <c r="X13" s="5" t="inlineStr">
        <is>
          <t>Alpha Indistinguishable from Zero (p=0.42); Returns Explained by Factor Betas | Core/Neutral HML</t>
        </is>
      </c>
    </row>
    <row r="14" ht="22" customHeight="1">
      <c r="A14" s="7" t="inlineStr">
        <is>
          <t>VTI</t>
        </is>
      </c>
      <c r="B14" s="8" t="inlineStr">
        <is>
          <t>ETF (NYSE Arca)</t>
        </is>
      </c>
      <c r="C14" s="24" t="inlineStr">
        <is>
          <t>Tier 1</t>
        </is>
      </c>
      <c r="D14" s="26" t="n">
        <v>-0.000166016731468045</v>
      </c>
      <c r="E14" s="25">
        <f>D14*12</f>
        <v/>
      </c>
      <c r="F14" s="26" t="n">
        <v>0.0002107229420094871</v>
      </c>
      <c r="G14" s="41" t="n">
        <v>-0.7878436485599687</v>
      </c>
      <c r="H14" s="49" t="n">
        <v>0.4328133536085823</v>
      </c>
      <c r="I14" s="26" t="n">
        <v>-0.0005845306832607738</v>
      </c>
      <c r="J14" s="26" t="n">
        <v>0.0002524972203246838</v>
      </c>
      <c r="K14" s="41" t="n">
        <v>0.9906254365897985</v>
      </c>
      <c r="L14" s="27" t="n">
        <v>218.7761648479493</v>
      </c>
      <c r="M14" s="27" t="n">
        <v>-0.01946721910401861</v>
      </c>
      <c r="N14" s="50" t="n">
        <v>0.02088686810810891</v>
      </c>
      <c r="O14" s="41" t="n">
        <v>0.01445901258460689</v>
      </c>
      <c r="P14" s="50" t="n">
        <v>0.008939830692370032</v>
      </c>
      <c r="Q14" s="25" t="n">
        <v>0.9982097293558464</v>
      </c>
      <c r="R14" s="26" t="n">
        <v>0.9981513509652762</v>
      </c>
      <c r="S14" s="26" t="n">
        <v>-0.001686448961963917</v>
      </c>
      <c r="T14" s="27" t="n">
        <v>0.9882145892265455</v>
      </c>
      <c r="U14" s="26" t="n">
        <v>0.9979682723042467</v>
      </c>
      <c r="V14" s="26" t="n">
        <v>0.9979682723042476</v>
      </c>
      <c r="W14" s="26" t="n">
        <v>0.007365699049875171</v>
      </c>
      <c r="X14" s="8" t="inlineStr">
        <is>
          <t>Alpha Indistinguishable from Zero (p=0.43); Returns Explained by Factor Betas | Core/Neutral HML</t>
        </is>
      </c>
    </row>
    <row r="15" ht="22" customHeight="1">
      <c r="A15" s="4" t="inlineStr">
        <is>
          <t>VTV</t>
        </is>
      </c>
      <c r="B15" s="5" t="inlineStr">
        <is>
          <t>ETF (NYSE Arca)</t>
        </is>
      </c>
      <c r="C15" s="19" t="inlineStr">
        <is>
          <t>Tier 2/3</t>
        </is>
      </c>
      <c r="D15" s="21" t="n">
        <v>0.0004813699212114891</v>
      </c>
      <c r="E15" s="20">
        <f>D15*12</f>
        <v/>
      </c>
      <c r="F15" s="21" t="n">
        <v>0.0009597757634546143</v>
      </c>
      <c r="G15" s="38" t="n">
        <v>0.5015441518119269</v>
      </c>
      <c r="H15" s="51" t="n">
        <v>0.6171862973609987</v>
      </c>
      <c r="I15" s="21" t="n">
        <v>-0.001424827589927045</v>
      </c>
      <c r="J15" s="21" t="n">
        <v>0.002387567432350023</v>
      </c>
      <c r="K15" s="38" t="n">
        <v>0.8868399748848678</v>
      </c>
      <c r="L15" s="22" t="n">
        <v>43.00092846157927</v>
      </c>
      <c r="M15" s="22" t="n">
        <v>-0.1281520586727267</v>
      </c>
      <c r="N15" s="48" t="n">
        <v>0.001007407783633507</v>
      </c>
      <c r="O15" s="38" t="n">
        <v>0.3291472367952124</v>
      </c>
      <c r="P15" s="48" t="n">
        <v>0</v>
      </c>
      <c r="Q15" s="20" t="n">
        <v>0.9587439032005631</v>
      </c>
      <c r="R15" s="21" t="n">
        <v>0.9573985956962336</v>
      </c>
      <c r="S15" s="21" t="n">
        <v>0.005829180371510315</v>
      </c>
      <c r="T15" s="22" t="n">
        <v>0.8776698628197335</v>
      </c>
      <c r="U15" s="21" t="n">
        <v>0.8744402007834288</v>
      </c>
      <c r="V15" s="21" t="n">
        <v>0.8744402007834298</v>
      </c>
      <c r="W15" s="21" t="n">
        <v>0.05493887480644413</v>
      </c>
      <c r="X15" s="5" t="inlineStr">
        <is>
          <t>Alpha Indistinguishable from Zero (p=0.62); Returns Explained by Factor Betas | Value Tilt (HML&gt;0)</t>
        </is>
      </c>
    </row>
    <row r="16" ht="22" customHeight="1">
      <c r="A16" s="7" t="inlineStr">
        <is>
          <t>SCHD</t>
        </is>
      </c>
      <c r="B16" s="8" t="inlineStr">
        <is>
          <t>ETF (NYSE Arca)</t>
        </is>
      </c>
      <c r="C16" s="24" t="inlineStr">
        <is>
          <t>Tier 2</t>
        </is>
      </c>
      <c r="D16" s="26" t="n">
        <v>0.002315925290476691</v>
      </c>
      <c r="E16" s="25">
        <f>D16*12</f>
        <v/>
      </c>
      <c r="F16" s="26" t="n">
        <v>0.001429826225012635</v>
      </c>
      <c r="G16" s="41" t="n">
        <v>1.619725005712653</v>
      </c>
      <c r="H16" s="49" t="n">
        <v>0.1087143622374187</v>
      </c>
      <c r="I16" s="26" t="n">
        <v>-0.0005238330106387902</v>
      </c>
      <c r="J16" s="26" t="n">
        <v>0.005155683591592172</v>
      </c>
      <c r="K16" s="41" t="n">
        <v>0.876182664413554</v>
      </c>
      <c r="L16" s="27" t="n">
        <v>28.51765091582608</v>
      </c>
      <c r="M16" s="27" t="n">
        <v>-0.1933672771670372</v>
      </c>
      <c r="N16" s="50" t="n">
        <v>0.0008739161570991971</v>
      </c>
      <c r="O16" s="41" t="n">
        <v>0.2680216983845189</v>
      </c>
      <c r="P16" s="50" t="n">
        <v>1.014237582808164e-10</v>
      </c>
      <c r="Q16" s="25" t="n">
        <v>0.9072082663237856</v>
      </c>
      <c r="R16" s="26" t="n">
        <v>0.9041824489213004</v>
      </c>
      <c r="S16" s="26" t="n">
        <v>0.02978597029505553</v>
      </c>
      <c r="T16" s="27" t="n">
        <v>0.8557984646536534</v>
      </c>
      <c r="U16" s="26" t="n">
        <v>0.8425679628970162</v>
      </c>
      <c r="V16" s="26" t="n">
        <v>0.842567962897017</v>
      </c>
      <c r="W16" s="26" t="n">
        <v>0.06110882251361692</v>
      </c>
      <c r="X16" s="8" t="inlineStr">
        <is>
          <t>Alpha Indistinguishable from Zero (p=0.11); Returns Explained by Factor Betas | Value Tilt (HML&gt;0)</t>
        </is>
      </c>
    </row>
    <row r="17" ht="22" customHeight="1">
      <c r="A17" s="4" t="inlineStr">
        <is>
          <t>RSP</t>
        </is>
      </c>
      <c r="B17" s="5" t="inlineStr">
        <is>
          <t>ETF (NYSE Arca)</t>
        </is>
      </c>
      <c r="C17" s="19" t="inlineStr">
        <is>
          <t>Tier 1/3</t>
        </is>
      </c>
      <c r="D17" s="21" t="n">
        <v>-0.0002725479830055007</v>
      </c>
      <c r="E17" s="20">
        <f>D17*12</f>
        <v/>
      </c>
      <c r="F17" s="21" t="n">
        <v>0.0008852282290772551</v>
      </c>
      <c r="G17" s="38" t="n">
        <v>-0.3078844235340297</v>
      </c>
      <c r="H17" s="51" t="n">
        <v>0.7588662398967889</v>
      </c>
      <c r="I17" s="21" t="n">
        <v>-0.002030687656154717</v>
      </c>
      <c r="J17" s="21" t="n">
        <v>0.001485591690143716</v>
      </c>
      <c r="K17" s="38" t="n">
        <v>0.9985224680262486</v>
      </c>
      <c r="L17" s="22" t="n">
        <v>52.49342834001389</v>
      </c>
      <c r="M17" s="22" t="n">
        <v>0.03689614327232144</v>
      </c>
      <c r="N17" s="48" t="n">
        <v>0.2917197869723434</v>
      </c>
      <c r="O17" s="38" t="n">
        <v>0.2312631265679878</v>
      </c>
      <c r="P17" s="48" t="n">
        <v>2.220446049250313e-16</v>
      </c>
      <c r="Q17" s="20" t="n">
        <v>0.9715663658577869</v>
      </c>
      <c r="R17" s="21" t="n">
        <v>0.9706391821357582</v>
      </c>
      <c r="S17" s="21" t="n">
        <v>-0.006017027608024195</v>
      </c>
      <c r="T17" s="22" t="n">
        <v>1.010499620302448</v>
      </c>
      <c r="U17" s="21" t="n">
        <v>0.939103230618376</v>
      </c>
      <c r="V17" s="21" t="n">
        <v>0.9391032306183763</v>
      </c>
      <c r="W17" s="21" t="n">
        <v>0.0425074389831229</v>
      </c>
      <c r="X17" s="5" t="inlineStr">
        <is>
          <t>Alpha Indistinguishable from Zero (p=0.76); Returns Explained by Factor Betas | Value Tilt (HML&gt;0)</t>
        </is>
      </c>
    </row>
    <row r="18" ht="22" customHeight="1">
      <c r="A18" s="7" t="inlineStr">
        <is>
          <t>QQQ</t>
        </is>
      </c>
      <c r="B18" s="8" t="inlineStr">
        <is>
          <t>ETF (NASDAQ)</t>
        </is>
      </c>
      <c r="C18" s="24" t="inlineStr">
        <is>
          <t>Tier 3</t>
        </is>
      </c>
      <c r="D18" s="26" t="n">
        <v>0.001849797516324759</v>
      </c>
      <c r="E18" s="25">
        <f>D18*12</f>
        <v/>
      </c>
      <c r="F18" s="26" t="n">
        <v>0.001461694621231971</v>
      </c>
      <c r="G18" s="41" t="n">
        <v>1.265515716795674</v>
      </c>
      <c r="H18" s="49" t="n">
        <v>0.208882167979048</v>
      </c>
      <c r="I18" s="26" t="n">
        <v>-0.001053254170465124</v>
      </c>
      <c r="J18" s="26" t="n">
        <v>0.004752849203114642</v>
      </c>
      <c r="K18" s="41" t="n">
        <v>1.114206816756813</v>
      </c>
      <c r="L18" s="27" t="n">
        <v>35.47411037401486</v>
      </c>
      <c r="M18" s="27" t="n">
        <v>-0.2034389909387601</v>
      </c>
      <c r="N18" s="50" t="n">
        <v>0.0006275861271380911</v>
      </c>
      <c r="O18" s="41" t="n">
        <v>-0.3683813870893283</v>
      </c>
      <c r="P18" s="50" t="n">
        <v>4.440892098500626e-16</v>
      </c>
      <c r="Q18" s="25" t="n">
        <v>0.937051370063597</v>
      </c>
      <c r="R18" s="26" t="n">
        <v>0.9349986973482795</v>
      </c>
      <c r="S18" s="26" t="n">
        <v>0.02974470133182919</v>
      </c>
      <c r="T18" s="27" t="n">
        <v>1.074135355762874</v>
      </c>
      <c r="U18" s="26" t="n">
        <v>0.8616088911577164</v>
      </c>
      <c r="V18" s="26" t="n">
        <v>0.8616088911577168</v>
      </c>
      <c r="W18" s="26" t="n">
        <v>0.07111256542824734</v>
      </c>
      <c r="X18" s="8" t="inlineStr">
        <is>
          <t>Alpha Indistinguishable from Zero (p=0.21); Returns Explained by Factor Betas | Growth Tilt (HML&lt;0)</t>
        </is>
      </c>
    </row>
    <row r="19" ht="22" customHeight="1">
      <c r="A19" s="4" t="inlineStr">
        <is>
          <t>VUG</t>
        </is>
      </c>
      <c r="B19" s="5" t="inlineStr">
        <is>
          <t>ETF (NYSE Arca)</t>
        </is>
      </c>
      <c r="C19" s="19" t="inlineStr">
        <is>
          <t>Tier 3</t>
        </is>
      </c>
      <c r="D19" s="21" t="n">
        <v>-0.0002465324038624881</v>
      </c>
      <c r="E19" s="20">
        <f>D19*12</f>
        <v/>
      </c>
      <c r="F19" s="21" t="n">
        <v>0.000923203131119255</v>
      </c>
      <c r="G19" s="38" t="n">
        <v>-0.2670402596702656</v>
      </c>
      <c r="H19" s="51" t="n">
        <v>0.7900358437113697</v>
      </c>
      <c r="I19" s="21" t="n">
        <v>-0.00208009351034488</v>
      </c>
      <c r="J19" s="21" t="n">
        <v>0.001587028702619904</v>
      </c>
      <c r="K19" s="38" t="n">
        <v>1.083994036505339</v>
      </c>
      <c r="L19" s="22" t="n">
        <v>54.64267789718801</v>
      </c>
      <c r="M19" s="22" t="n">
        <v>-0.1430545509168203</v>
      </c>
      <c r="N19" s="48" t="n">
        <v>0.0001571570827152424</v>
      </c>
      <c r="O19" s="38" t="n">
        <v>-0.3139778182458495</v>
      </c>
      <c r="P19" s="48" t="n">
        <v>0</v>
      </c>
      <c r="Q19" s="20" t="n">
        <v>0.9723381813873085</v>
      </c>
      <c r="R19" s="21" t="n">
        <v>0.9714361655629816</v>
      </c>
      <c r="S19" s="21" t="n">
        <v>0.002808859728417365</v>
      </c>
      <c r="T19" s="22" t="n">
        <v>1.054243149348153</v>
      </c>
      <c r="U19" s="21" t="n">
        <v>0.9142962330744093</v>
      </c>
      <c r="V19" s="21" t="n">
        <v>0.9142962330744105</v>
      </c>
      <c r="W19" s="21" t="n">
        <v>0.05331944296853356</v>
      </c>
      <c r="X19" s="5" t="inlineStr">
        <is>
          <t>Alpha Indistinguishable from Zero (p=0.79); Returns Explained by Factor Betas | Growth Tilt (HML&lt;0)</t>
        </is>
      </c>
    </row>
    <row r="20" ht="22" customHeight="1">
      <c r="A20" s="7" t="inlineStr">
        <is>
          <t>SPY</t>
        </is>
      </c>
      <c r="B20" s="8" t="inlineStr">
        <is>
          <t>ETF (NYSE Arca)</t>
        </is>
      </c>
      <c r="C20" s="24" t="inlineStr">
        <is>
          <t>Tier 1</t>
        </is>
      </c>
      <c r="D20" s="26" t="n">
        <v>0.0001291077709206953</v>
      </c>
      <c r="E20" s="25">
        <f>D20*12</f>
        <v/>
      </c>
      <c r="F20" s="26" t="n">
        <v>0.0003094344521517938</v>
      </c>
      <c r="G20" s="41" t="n">
        <v>0.4172378674154912</v>
      </c>
      <c r="H20" s="49" t="n">
        <v>0.6774764718575437</v>
      </c>
      <c r="I20" s="26" t="n">
        <v>-0.0004854557604912517</v>
      </c>
      <c r="J20" s="26" t="n">
        <v>0.0007436713023326422</v>
      </c>
      <c r="K20" s="41" t="n">
        <v>0.9817091419165515</v>
      </c>
      <c r="L20" s="27" t="n">
        <v>147.644243828439</v>
      </c>
      <c r="M20" s="27" t="n">
        <v>-0.1545553923617118</v>
      </c>
      <c r="N20" s="50" t="n">
        <v>0</v>
      </c>
      <c r="O20" s="41" t="n">
        <v>0.01442543366119988</v>
      </c>
      <c r="P20" s="50" t="n">
        <v>0.07281291700223802</v>
      </c>
      <c r="Q20" s="25" t="n">
        <v>0.9959446777154704</v>
      </c>
      <c r="R20" s="26" t="n">
        <v>0.9958124389453227</v>
      </c>
      <c r="S20" s="26" t="n">
        <v>0.004817565637048864</v>
      </c>
      <c r="T20" s="27" t="n">
        <v>0.9596943693354788</v>
      </c>
      <c r="U20" s="26" t="n">
        <v>0.9887194992496424</v>
      </c>
      <c r="V20" s="26" t="n">
        <v>0.988719499249643</v>
      </c>
      <c r="W20" s="26" t="n">
        <v>0.01693358501167463</v>
      </c>
      <c r="X20" s="8" t="inlineStr">
        <is>
          <t>Alpha Indistinguishable from Zero (p=0.68); Returns Explained by Factor Betas | Core/Neutral HML</t>
        </is>
      </c>
    </row>
    <row r="21" ht="22" customHeight="1">
      <c r="A21" s="4" t="inlineStr">
        <is>
          <t>AAPL</t>
        </is>
      </c>
      <c r="B21" s="5" t="inlineStr">
        <is>
          <t>NASDAQ</t>
        </is>
      </c>
      <c r="C21" s="19" t="inlineStr">
        <is>
          <t>Tier 3</t>
        </is>
      </c>
      <c r="D21" s="21" t="n">
        <v>0.009204316898202426</v>
      </c>
      <c r="E21" s="20">
        <f>D21*12</f>
        <v/>
      </c>
      <c r="F21" s="21" t="n">
        <v>0.006042951590281495</v>
      </c>
      <c r="G21" s="38" t="n">
        <v>1.523149202949956</v>
      </c>
      <c r="H21" s="51" t="n">
        <v>0.1311514551042705</v>
      </c>
      <c r="I21" s="21" t="n">
        <v>-0.002797506569253722</v>
      </c>
      <c r="J21" s="21" t="n">
        <v>0.02120614036565857</v>
      </c>
      <c r="K21" s="38" t="n">
        <v>1.265352314892195</v>
      </c>
      <c r="L21" s="22" t="n">
        <v>9.74461531783601</v>
      </c>
      <c r="M21" s="22" t="n">
        <v>-0.2896973908300323</v>
      </c>
      <c r="N21" s="48" t="n">
        <v>0.2256925357191855</v>
      </c>
      <c r="O21" s="38" t="n">
        <v>-0.5407411568076029</v>
      </c>
      <c r="P21" s="48" t="n">
        <v>0.0007597327609969451</v>
      </c>
      <c r="Q21" s="20" t="n">
        <v>0.5375936691040863</v>
      </c>
      <c r="R21" s="21" t="n">
        <v>0.5225152017922632</v>
      </c>
      <c r="S21" s="21" t="n">
        <v>0.121334353120338</v>
      </c>
      <c r="T21" s="22" t="n">
        <v>1.20782754125673</v>
      </c>
      <c r="U21" s="21" t="n">
        <v>0.4682249601926861</v>
      </c>
      <c r="V21" s="21" t="n">
        <v>0.4682249601926867</v>
      </c>
      <c r="W21" s="21" t="n">
        <v>0.2126326481140829</v>
      </c>
      <c r="X21" s="5" t="inlineStr">
        <is>
          <t>Alpha Indistinguishable from Zero (p=0.13); Returns Explained by Factor Betas | Growth Tilt (HML&lt;0)</t>
        </is>
      </c>
    </row>
    <row r="22" ht="22" customHeight="1">
      <c r="A22" s="7" t="inlineStr">
        <is>
          <t>CSCO</t>
        </is>
      </c>
      <c r="B22" s="8" t="inlineStr">
        <is>
          <t>NASDAQ</t>
        </is>
      </c>
      <c r="C22" s="24" t="inlineStr">
        <is>
          <t>Tier 2</t>
        </is>
      </c>
      <c r="D22" s="26" t="n">
        <v>0.001097876443011761</v>
      </c>
      <c r="E22" s="25">
        <f>D22*12</f>
        <v/>
      </c>
      <c r="F22" s="26" t="n">
        <v>0.005481787841646215</v>
      </c>
      <c r="G22" s="41" t="n">
        <v>0.2002770765170769</v>
      </c>
      <c r="H22" s="49" t="n">
        <v>0.8417059459999523</v>
      </c>
      <c r="I22" s="26" t="n">
        <v>-0.009789427381710854</v>
      </c>
      <c r="J22" s="26" t="n">
        <v>0.01198518026773437</v>
      </c>
      <c r="K22" s="41" t="n">
        <v>1.058751624512298</v>
      </c>
      <c r="L22" s="27" t="n">
        <v>8.98823082764868</v>
      </c>
      <c r="M22" s="27" t="n">
        <v>-0.2446100095005168</v>
      </c>
      <c r="N22" s="50" t="n">
        <v>0.2591960985358468</v>
      </c>
      <c r="O22" s="41" t="n">
        <v>-0.02575807208840864</v>
      </c>
      <c r="P22" s="50" t="n">
        <v>0.8552635356723959</v>
      </c>
      <c r="Q22" s="25" t="n">
        <v>0.4726757823958628</v>
      </c>
      <c r="R22" s="26" t="n">
        <v>0.4554804274739888</v>
      </c>
      <c r="S22" s="26" t="n">
        <v>0.01875415826905921</v>
      </c>
      <c r="T22" s="27" t="n">
        <v>1.022518012227024</v>
      </c>
      <c r="U22" s="26" t="n">
        <v>0.4650443455719157</v>
      </c>
      <c r="V22" s="26" t="n">
        <v>0.4650443455719158</v>
      </c>
      <c r="W22" s="26" t="n">
        <v>0.1811636241369479</v>
      </c>
      <c r="X22" s="8" t="inlineStr">
        <is>
          <t>Alpha Indistinguishable from Zero (p=0.84); Returns Explained by Factor Betas | Core/Neutral HML</t>
        </is>
      </c>
    </row>
    <row r="23" ht="22" customHeight="1">
      <c r="A23" s="4" t="inlineStr">
        <is>
          <t>TXN</t>
        </is>
      </c>
      <c r="B23" s="5" t="inlineStr">
        <is>
          <t>NASDAQ</t>
        </is>
      </c>
      <c r="C23" s="19" t="inlineStr">
        <is>
          <t>Tier 2/3</t>
        </is>
      </c>
      <c r="D23" s="21" t="n">
        <v>0.007085819353663527</v>
      </c>
      <c r="E23" s="20">
        <f>D23*12</f>
        <v/>
      </c>
      <c r="F23" s="21" t="n">
        <v>0.004465408255986623</v>
      </c>
      <c r="G23" s="38" t="n">
        <v>1.586824529238465</v>
      </c>
      <c r="H23" s="51" t="n">
        <v>0.1159836079296495</v>
      </c>
      <c r="I23" s="21" t="n">
        <v>-0.001782866883152113</v>
      </c>
      <c r="J23" s="21" t="n">
        <v>0.01595450559047917</v>
      </c>
      <c r="K23" s="38" t="n">
        <v>1.0105014748265</v>
      </c>
      <c r="L23" s="22" t="n">
        <v>10.53120656477738</v>
      </c>
      <c r="M23" s="22" t="n">
        <v>0.05057300841743828</v>
      </c>
      <c r="N23" s="48" t="n">
        <v>0.7738800651355984</v>
      </c>
      <c r="O23" s="38" t="n">
        <v>0.1352416889626895</v>
      </c>
      <c r="P23" s="48" t="n">
        <v>0.2414330246068905</v>
      </c>
      <c r="Q23" s="20" t="n">
        <v>0.5732187935770745</v>
      </c>
      <c r="R23" s="21" t="n">
        <v>0.5593020151067617</v>
      </c>
      <c r="S23" s="21" t="n">
        <v>0.08278788251624139</v>
      </c>
      <c r="T23" s="22" t="n">
        <v>1.021713384046195</v>
      </c>
      <c r="U23" s="21" t="n">
        <v>0.5663178798041009</v>
      </c>
      <c r="V23" s="21" t="n">
        <v>0.5663178798041014</v>
      </c>
      <c r="W23" s="21" t="n">
        <v>0.1476974612825451</v>
      </c>
      <c r="X23" s="5" t="inlineStr">
        <is>
          <t>Alpha Indistinguishable from Zero (p=0.12); Returns Explained by Factor Betas | Core/Neutral HML</t>
        </is>
      </c>
    </row>
    <row r="24" ht="22" customHeight="1">
      <c r="A24" s="10" t="inlineStr">
        <is>
          <t>NVDA</t>
        </is>
      </c>
      <c r="B24" s="8" t="inlineStr">
        <is>
          <t>NASDAQ</t>
        </is>
      </c>
      <c r="C24" s="24" t="inlineStr">
        <is>
          <t>Tier 3</t>
        </is>
      </c>
      <c r="D24" s="16" t="n">
        <v>0.02960412383581846</v>
      </c>
      <c r="E24" s="15">
        <f>D24*12</f>
        <v/>
      </c>
      <c r="F24" s="26" t="n">
        <v>0.01100205792622697</v>
      </c>
      <c r="G24" s="46" t="n">
        <v>2.69078058253515</v>
      </c>
      <c r="H24" s="47" t="n">
        <v>0.008466787865560654</v>
      </c>
      <c r="I24" s="26" t="n">
        <v>0.007753087130235353</v>
      </c>
      <c r="J24" s="26" t="n">
        <v>0.05145516054140156</v>
      </c>
      <c r="K24" s="41" t="n">
        <v>1.714187136160439</v>
      </c>
      <c r="L24" s="27" t="n">
        <v>7.250812171874446</v>
      </c>
      <c r="M24" s="27" t="n">
        <v>-0.1977294124397101</v>
      </c>
      <c r="N24" s="50" t="n">
        <v>0.6485657620083281</v>
      </c>
      <c r="O24" s="41" t="n">
        <v>-0.6745760199107378</v>
      </c>
      <c r="P24" s="50" t="n">
        <v>0.01903998960148434</v>
      </c>
      <c r="Q24" s="25" t="n">
        <v>0.3924761250568584</v>
      </c>
      <c r="R24" s="26" t="n">
        <v>0.3726655639174081</v>
      </c>
      <c r="S24" s="26" t="n">
        <v>0.3652365345567978</v>
      </c>
      <c r="T24" s="27" t="n">
        <v>1.666175201833303</v>
      </c>
      <c r="U24" s="26" t="n">
        <v>0.3531636462037417</v>
      </c>
      <c r="V24" s="26" t="n">
        <v>0.3531636462037424</v>
      </c>
      <c r="W24" s="26" t="n">
        <v>0.3724930778444672</v>
      </c>
      <c r="X24" s="13" t="inlineStr">
        <is>
          <t>SIGNIFICANT POSITIVE ALPHA (p=0.0085 &lt; 0.05; 95% CI excludes 0) | Growth Tilt (HML&lt;0)</t>
        </is>
      </c>
    </row>
    <row r="25" ht="22" customHeight="1">
      <c r="A25" s="4" t="inlineStr">
        <is>
          <t>PFE</t>
        </is>
      </c>
      <c r="B25" s="5" t="inlineStr">
        <is>
          <t>NYSE</t>
        </is>
      </c>
      <c r="C25" s="19" t="inlineStr">
        <is>
          <t>Tier 2</t>
        </is>
      </c>
      <c r="D25" s="21" t="n">
        <v>0.003709028807388078</v>
      </c>
      <c r="E25" s="20">
        <f>D25*12</f>
        <v/>
      </c>
      <c r="F25" s="21" t="n">
        <v>0.006068345486619039</v>
      </c>
      <c r="G25" s="38" t="n">
        <v>0.6112092357903229</v>
      </c>
      <c r="H25" s="51" t="n">
        <v>0.5425683461107293</v>
      </c>
      <c r="I25" s="21" t="n">
        <v>-0.008343229130118143</v>
      </c>
      <c r="J25" s="21" t="n">
        <v>0.0157612867448943</v>
      </c>
      <c r="K25" s="38" t="n">
        <v>0.7462156487581469</v>
      </c>
      <c r="L25" s="22" t="n">
        <v>5.722639716193384</v>
      </c>
      <c r="M25" s="22" t="n">
        <v>-0.5114565813953628</v>
      </c>
      <c r="N25" s="48" t="n">
        <v>0.03463919324923337</v>
      </c>
      <c r="O25" s="38" t="n">
        <v>-0.06233230161426204</v>
      </c>
      <c r="P25" s="48" t="n">
        <v>0.6901836441606015</v>
      </c>
      <c r="Q25" s="20" t="n">
        <v>0.2654060448163024</v>
      </c>
      <c r="R25" s="21" t="n">
        <v>0.2414518941037905</v>
      </c>
      <c r="S25" s="21" t="n">
        <v>0.05624584657242877</v>
      </c>
      <c r="T25" s="22" t="n">
        <v>0.6702118639045053</v>
      </c>
      <c r="U25" s="21" t="n">
        <v>0.2271172599161824</v>
      </c>
      <c r="V25" s="21" t="n">
        <v>0.2271172599161824</v>
      </c>
      <c r="W25" s="21" t="n">
        <v>0.2042359414598896</v>
      </c>
      <c r="X25" s="5" t="inlineStr">
        <is>
          <t>Alpha Indistinguishable from Zero (p=0.54); Returns Explained by Factor Betas | Core/Neutral HML</t>
        </is>
      </c>
    </row>
    <row r="26" ht="22" customHeight="1">
      <c r="A26" s="7" t="inlineStr">
        <is>
          <t>ABT</t>
        </is>
      </c>
      <c r="B26" s="8" t="inlineStr">
        <is>
          <t>NYSE</t>
        </is>
      </c>
      <c r="C26" s="24" t="inlineStr">
        <is>
          <t>Tier 2/3</t>
        </is>
      </c>
      <c r="D26" s="26" t="n">
        <v>0.004734186348353069</v>
      </c>
      <c r="E26" s="25">
        <f>D26*12</f>
        <v/>
      </c>
      <c r="F26" s="26" t="n">
        <v>0.004636480170211349</v>
      </c>
      <c r="G26" s="41" t="n">
        <v>1.021073351886516</v>
      </c>
      <c r="H26" s="49" t="n">
        <v>0.3098972216558709</v>
      </c>
      <c r="I26" s="26" t="n">
        <v>-0.004474263476518939</v>
      </c>
      <c r="J26" s="26" t="n">
        <v>0.01394263617322508</v>
      </c>
      <c r="K26" s="41" t="n">
        <v>0.8316549019492984</v>
      </c>
      <c r="L26" s="27" t="n">
        <v>8.34751283775079</v>
      </c>
      <c r="M26" s="27" t="n">
        <v>-0.252648577738087</v>
      </c>
      <c r="N26" s="50" t="n">
        <v>0.1689745773811018</v>
      </c>
      <c r="O26" s="41" t="n">
        <v>-0.3433060217223505</v>
      </c>
      <c r="P26" s="50" t="n">
        <v>0.004911539801340847</v>
      </c>
      <c r="Q26" s="25" t="n">
        <v>0.4564921430173152</v>
      </c>
      <c r="R26" s="26" t="n">
        <v>0.4387690607244016</v>
      </c>
      <c r="S26" s="26" t="n">
        <v>0.06522637790681551</v>
      </c>
      <c r="T26" s="27" t="n">
        <v>0.7851606465479881</v>
      </c>
      <c r="U26" s="26" t="n">
        <v>0.3950619698419094</v>
      </c>
      <c r="V26" s="26" t="n">
        <v>0.3950619698419101</v>
      </c>
      <c r="W26" s="26" t="n">
        <v>0.160498020848003</v>
      </c>
      <c r="X26" s="8" t="inlineStr">
        <is>
          <t>Alpha Indistinguishable from Zero (p=0.31); Returns Explained by Factor Betas | Growth Tilt (HML&lt;0)</t>
        </is>
      </c>
    </row>
    <row r="27" ht="22" customHeight="1">
      <c r="A27" s="4" t="inlineStr">
        <is>
          <t>MRK</t>
        </is>
      </c>
      <c r="B27" s="5" t="inlineStr">
        <is>
          <t>NYSE</t>
        </is>
      </c>
      <c r="C27" s="19" t="inlineStr">
        <is>
          <t>Tier 2</t>
        </is>
      </c>
      <c r="D27" s="21" t="n">
        <v>0.006743155036652257</v>
      </c>
      <c r="E27" s="20">
        <f>D27*12</f>
        <v/>
      </c>
      <c r="F27" s="21" t="n">
        <v>0.005457063660408129</v>
      </c>
      <c r="G27" s="38" t="n">
        <v>1.235674614825355</v>
      </c>
      <c r="H27" s="51" t="n">
        <v>0.2197254918970049</v>
      </c>
      <c r="I27" s="21" t="n">
        <v>-0.004095044430015576</v>
      </c>
      <c r="J27" s="21" t="n">
        <v>0.01758135450332009</v>
      </c>
      <c r="K27" s="38" t="n">
        <v>0.4786146033623961</v>
      </c>
      <c r="L27" s="22" t="n">
        <v>4.081589048902373</v>
      </c>
      <c r="M27" s="22" t="n">
        <v>-0.5306357891360098</v>
      </c>
      <c r="N27" s="48" t="n">
        <v>0.01519511422727238</v>
      </c>
      <c r="O27" s="38" t="n">
        <v>0.06566364679642134</v>
      </c>
      <c r="P27" s="48" t="n">
        <v>0.64059230739772</v>
      </c>
      <c r="Q27" s="20" t="n">
        <v>0.1714988304735331</v>
      </c>
      <c r="R27" s="21" t="n">
        <v>0.1444824879889745</v>
      </c>
      <c r="S27" s="21" t="n">
        <v>0.09200365205759484</v>
      </c>
      <c r="T27" s="22" t="n">
        <v>0.4034933107667503</v>
      </c>
      <c r="U27" s="21" t="n">
        <v>0.1148066190743815</v>
      </c>
      <c r="V27" s="21" t="n">
        <v>0.1148066190743817</v>
      </c>
      <c r="W27" s="21" t="n">
        <v>0.1850803364189677</v>
      </c>
      <c r="X27" s="5" t="inlineStr">
        <is>
          <t>Alpha Indistinguishable from Zero (p=0.22); Returns Explained by Factor Betas | Core/Neutral HML</t>
        </is>
      </c>
    </row>
    <row r="28" ht="22" customHeight="1">
      <c r="A28" s="10" t="inlineStr">
        <is>
          <t>LLY</t>
        </is>
      </c>
      <c r="B28" s="8" t="inlineStr">
        <is>
          <t>NYSE</t>
        </is>
      </c>
      <c r="C28" s="24" t="inlineStr">
        <is>
          <t>Tier 3</t>
        </is>
      </c>
      <c r="D28" s="16" t="n">
        <v>0.01887446182658912</v>
      </c>
      <c r="E28" s="15">
        <f>D28*12</f>
        <v/>
      </c>
      <c r="F28" s="26" t="n">
        <v>0.006657290876164288</v>
      </c>
      <c r="G28" s="46" t="n">
        <v>2.835156549065189</v>
      </c>
      <c r="H28" s="47" t="n">
        <v>0.005631192317734346</v>
      </c>
      <c r="I28" s="26" t="n">
        <v>0.005652507509475622</v>
      </c>
      <c r="J28" s="26" t="n">
        <v>0.03209641614370261</v>
      </c>
      <c r="K28" s="41" t="n">
        <v>0.2559246800626579</v>
      </c>
      <c r="L28" s="27" t="n">
        <v>1.789027377916767</v>
      </c>
      <c r="M28" s="27" t="n">
        <v>0.4909728491363383</v>
      </c>
      <c r="N28" s="50" t="n">
        <v>0.06377303207134721</v>
      </c>
      <c r="O28" s="41" t="n">
        <v>-0.3847899177642964</v>
      </c>
      <c r="P28" s="50" t="n">
        <v>0.0268284923600326</v>
      </c>
      <c r="Q28" s="25" t="n">
        <v>0.1293941075075496</v>
      </c>
      <c r="R28" s="26" t="n">
        <v>0.1010047849262741</v>
      </c>
      <c r="S28" s="26" t="n">
        <v>0.2189509385850721</v>
      </c>
      <c r="T28" s="27" t="n">
        <v>0.3161510413312399</v>
      </c>
      <c r="U28" s="26" t="n">
        <v>0.04976625187430939</v>
      </c>
      <c r="V28" s="26" t="n">
        <v>0.0497662518743095</v>
      </c>
      <c r="W28" s="26" t="n">
        <v>0.2282079139973219</v>
      </c>
      <c r="X28" s="13" t="inlineStr">
        <is>
          <t>SIGNIFICANT POSITIVE ALPHA (p=0.0056 &lt; 0.05; 95% CI excludes 0) | Growth Tilt (HML&lt;0)</t>
        </is>
      </c>
    </row>
    <row r="29" ht="22" customHeight="1">
      <c r="A29" s="4" t="inlineStr">
        <is>
          <t>BAC</t>
        </is>
      </c>
      <c r="B29" s="5" t="inlineStr">
        <is>
          <t>NYSE</t>
        </is>
      </c>
      <c r="C29" s="19" t="inlineStr">
        <is>
          <t>Tier 3</t>
        </is>
      </c>
      <c r="D29" s="21" t="n">
        <v>0.0002641759024153831</v>
      </c>
      <c r="E29" s="20">
        <f>D29*12</f>
        <v/>
      </c>
      <c r="F29" s="21" t="n">
        <v>0.004460172914432421</v>
      </c>
      <c r="G29" s="38" t="n">
        <v>0.05922996876658105</v>
      </c>
      <c r="H29" s="51" t="n">
        <v>0.9528974073393928</v>
      </c>
      <c r="I29" s="21" t="n">
        <v>-0.008594112494174891</v>
      </c>
      <c r="J29" s="21" t="n">
        <v>0.009122464299005659</v>
      </c>
      <c r="K29" s="38" t="n">
        <v>1.381006413291773</v>
      </c>
      <c r="L29" s="22" t="n">
        <v>14.40941501845915</v>
      </c>
      <c r="M29" s="22" t="n">
        <v>0.1225355955887302</v>
      </c>
      <c r="N29" s="48" t="n">
        <v>0.4863209936124533</v>
      </c>
      <c r="O29" s="38" t="n">
        <v>0.9652842852135856</v>
      </c>
      <c r="P29" s="48" t="n">
        <v>4.671818487622659e-13</v>
      </c>
      <c r="Q29" s="20" t="n">
        <v>0.7712867837785594</v>
      </c>
      <c r="R29" s="21" t="n">
        <v>0.7638287441191646</v>
      </c>
      <c r="S29" s="21" t="n">
        <v>-0.007603455781314477</v>
      </c>
      <c r="T29" s="22" t="n">
        <v>1.426432290374787</v>
      </c>
      <c r="U29" s="21" t="n">
        <v>0.5929380976465135</v>
      </c>
      <c r="V29" s="21" t="n">
        <v>0.5929380976465137</v>
      </c>
      <c r="W29" s="21" t="n">
        <v>0.1952383094519857</v>
      </c>
      <c r="X29" s="5" t="inlineStr">
        <is>
          <t>Alpha Indistinguishable from Zero (p=0.95); Returns Explained by Factor Betas | Value Tilt (HML&gt;0)</t>
        </is>
      </c>
    </row>
    <row r="30" ht="22" customHeight="1">
      <c r="A30" s="7" t="inlineStr">
        <is>
          <t>BLK</t>
        </is>
      </c>
      <c r="B30" s="8" t="inlineStr">
        <is>
          <t>NYSE</t>
        </is>
      </c>
      <c r="C30" s="24" t="inlineStr">
        <is>
          <t>Tier 3</t>
        </is>
      </c>
      <c r="D30" s="26" t="n">
        <v>0.0004195950018206522</v>
      </c>
      <c r="E30" s="25">
        <f>D30*12</f>
        <v/>
      </c>
      <c r="F30" s="26" t="n">
        <v>0.004311763979825626</v>
      </c>
      <c r="G30" s="41" t="n">
        <v>0.09731400043784894</v>
      </c>
      <c r="H30" s="49" t="n">
        <v>0.9226887290167114</v>
      </c>
      <c r="I30" s="26" t="n">
        <v>-0.00814394044043377</v>
      </c>
      <c r="J30" s="26" t="n">
        <v>0.008983130444075076</v>
      </c>
      <c r="K30" s="41" t="n">
        <v>1.30620565838649</v>
      </c>
      <c r="L30" s="27" t="n">
        <v>14.09804625917681</v>
      </c>
      <c r="M30" s="27" t="n">
        <v>-0.1259943209919044</v>
      </c>
      <c r="N30" s="50" t="n">
        <v>0.4590982555748866</v>
      </c>
      <c r="O30" s="41" t="n">
        <v>0.1139477150411312</v>
      </c>
      <c r="P30" s="50" t="n">
        <v>0.3062830728827162</v>
      </c>
      <c r="Q30" s="25" t="n">
        <v>0.6960589882076946</v>
      </c>
      <c r="R30" s="26" t="n">
        <v>0.6861478682579456</v>
      </c>
      <c r="S30" s="26" t="n">
        <v>0.006843380778741614</v>
      </c>
      <c r="T30" s="27" t="n">
        <v>1.291185634961977</v>
      </c>
      <c r="U30" s="26" t="n">
        <v>0.6908374613681383</v>
      </c>
      <c r="V30" s="26" t="n">
        <v>0.6908374613681385</v>
      </c>
      <c r="W30" s="26" t="n">
        <v>0.1426863748314589</v>
      </c>
      <c r="X30" s="8" t="inlineStr">
        <is>
          <t>Alpha Indistinguishable from Zero (p=0.92); Returns Explained by Factor Betas | Core/Neutral HML</t>
        </is>
      </c>
    </row>
    <row r="31" ht="22" customHeight="1">
      <c r="A31" s="4" t="inlineStr">
        <is>
          <t>AXP</t>
        </is>
      </c>
      <c r="B31" s="5" t="inlineStr">
        <is>
          <t>NYSE</t>
        </is>
      </c>
      <c r="C31" s="19" t="inlineStr">
        <is>
          <t>Tier 3</t>
        </is>
      </c>
      <c r="D31" s="21" t="n">
        <v>-0.0005727815309127592</v>
      </c>
      <c r="E31" s="20">
        <f>D31*12</f>
        <v/>
      </c>
      <c r="F31" s="21" t="n">
        <v>0.005075025241999345</v>
      </c>
      <c r="G31" s="38" t="n">
        <v>-0.1128627944887044</v>
      </c>
      <c r="H31" s="51" t="n">
        <v>0.910385240315154</v>
      </c>
      <c r="I31" s="21" t="n">
        <v>-0.01065221972222925</v>
      </c>
      <c r="J31" s="21" t="n">
        <v>0.009506656660403736</v>
      </c>
      <c r="K31" s="38" t="n">
        <v>1.102928035000944</v>
      </c>
      <c r="L31" s="22" t="n">
        <v>10.11372917720065</v>
      </c>
      <c r="M31" s="22" t="n">
        <v>0.05999019136765565</v>
      </c>
      <c r="N31" s="48" t="n">
        <v>0.7642850942811847</v>
      </c>
      <c r="O31" s="38" t="n">
        <v>0.5909496447138554</v>
      </c>
      <c r="P31" s="48" t="n">
        <v>1.746663543000793e-05</v>
      </c>
      <c r="Q31" s="20" t="n">
        <v>0.596518488269709</v>
      </c>
      <c r="R31" s="21" t="n">
        <v>0.5833614824524169</v>
      </c>
      <c r="S31" s="21" t="n">
        <v>-0.0131394824790921</v>
      </c>
      <c r="T31" s="22" t="n">
        <v>1.128557358701965</v>
      </c>
      <c r="U31" s="21" t="n">
        <v>0.5057241154424708</v>
      </c>
      <c r="V31" s="21" t="n">
        <v>0.5057241154424712</v>
      </c>
      <c r="W31" s="21" t="n">
        <v>0.1843061563300508</v>
      </c>
      <c r="X31" s="5" t="inlineStr">
        <is>
          <t>Alpha Indistinguishable from Zero (p=0.91); Returns Explained by Factor Betas | Value Tilt (HML&gt;0)</t>
        </is>
      </c>
    </row>
    <row r="32" ht="22" customHeight="1">
      <c r="A32" s="7" t="inlineStr">
        <is>
          <t>KO</t>
        </is>
      </c>
      <c r="B32" s="8" t="inlineStr">
        <is>
          <t>NYSE</t>
        </is>
      </c>
      <c r="C32" s="24" t="inlineStr">
        <is>
          <t>Tier 2</t>
        </is>
      </c>
      <c r="D32" s="26" t="n">
        <v>0.001889174745506731</v>
      </c>
      <c r="E32" s="25">
        <f>D32*12</f>
        <v/>
      </c>
      <c r="F32" s="26" t="n">
        <v>0.003593779370411999</v>
      </c>
      <c r="G32" s="41" t="n">
        <v>0.525679111261121</v>
      </c>
      <c r="H32" s="49" t="n">
        <v>0.6003759680531289</v>
      </c>
      <c r="I32" s="26" t="n">
        <v>-0.005248381288209788</v>
      </c>
      <c r="J32" s="26" t="n">
        <v>0.009026730779223249</v>
      </c>
      <c r="K32" s="41" t="n">
        <v>0.6135814658990755</v>
      </c>
      <c r="L32" s="27" t="n">
        <v>7.945535491807608</v>
      </c>
      <c r="M32" s="27" t="n">
        <v>-0.7503291272112511</v>
      </c>
      <c r="N32" s="50" t="n">
        <v>7.504262951041341e-07</v>
      </c>
      <c r="O32" s="41" t="n">
        <v>0.208243919123063</v>
      </c>
      <c r="P32" s="50" t="n">
        <v>0.02645647810465368</v>
      </c>
      <c r="Q32" s="25" t="n">
        <v>0.464849094877734</v>
      </c>
      <c r="R32" s="26" t="n">
        <v>0.4473985218846166</v>
      </c>
      <c r="S32" s="26" t="n">
        <v>0.0373789125796537</v>
      </c>
      <c r="T32" s="27" t="n">
        <v>0.5106632624771502</v>
      </c>
      <c r="U32" s="26" t="n">
        <v>0.2738809566866207</v>
      </c>
      <c r="V32" s="26" t="n">
        <v>0.273880956686621</v>
      </c>
      <c r="W32" s="26" t="n">
        <v>0.1373554628433104</v>
      </c>
      <c r="X32" s="8" t="inlineStr">
        <is>
          <t>Alpha Indistinguishable from Zero (p=0.60); Returns Explained by Factor Betas | Value Tilt (HML&gt;0)</t>
        </is>
      </c>
    </row>
    <row r="33" ht="22" customHeight="1">
      <c r="A33" s="4" t="inlineStr">
        <is>
          <t>PEP</t>
        </is>
      </c>
      <c r="B33" s="5" t="inlineStr">
        <is>
          <t>NASDAQ</t>
        </is>
      </c>
      <c r="C33" s="19" t="inlineStr">
        <is>
          <t>Tier 2</t>
        </is>
      </c>
      <c r="D33" s="21" t="n">
        <v>0.003984373439066829</v>
      </c>
      <c r="E33" s="20">
        <f>D33*12</f>
        <v/>
      </c>
      <c r="F33" s="21" t="n">
        <v>0.003485437525940983</v>
      </c>
      <c r="G33" s="38" t="n">
        <v>1.143148717890488</v>
      </c>
      <c r="H33" s="51" t="n">
        <v>0.2559428606665302</v>
      </c>
      <c r="I33" s="21" t="n">
        <v>-0.002938006339792556</v>
      </c>
      <c r="J33" s="21" t="n">
        <v>0.01090675321792621</v>
      </c>
      <c r="K33" s="38" t="n">
        <v>0.611046152683158</v>
      </c>
      <c r="L33" s="22" t="n">
        <v>8.158664264298356</v>
      </c>
      <c r="M33" s="22" t="n">
        <v>-0.6073679277798323</v>
      </c>
      <c r="N33" s="48" t="n">
        <v>2.559290559189797e-05</v>
      </c>
      <c r="O33" s="38" t="n">
        <v>-0.0140191824418332</v>
      </c>
      <c r="P33" s="48" t="n">
        <v>0.8759194092105542</v>
      </c>
      <c r="Q33" s="20" t="n">
        <v>0.4394466387187528</v>
      </c>
      <c r="R33" s="21" t="n">
        <v>0.4211677247639295</v>
      </c>
      <c r="S33" s="21" t="n">
        <v>0.06124840564601469</v>
      </c>
      <c r="T33" s="22" t="n">
        <v>0.5225080690077828</v>
      </c>
      <c r="U33" s="21" t="n">
        <v>0.3193063258012275</v>
      </c>
      <c r="V33" s="21" t="n">
        <v>0.319306325801228</v>
      </c>
      <c r="W33" s="21" t="n">
        <v>0.1260240474669707</v>
      </c>
      <c r="X33" s="5" t="inlineStr">
        <is>
          <t>Alpha Indistinguishable from Zero (p=0.26); Returns Explained by Factor Betas | Core/Neutral HML</t>
        </is>
      </c>
    </row>
    <row r="34" ht="22" customHeight="1">
      <c r="A34" s="7" t="inlineStr">
        <is>
          <t>WMT</t>
        </is>
      </c>
      <c r="B34" s="8" t="inlineStr">
        <is>
          <t>NYSE</t>
        </is>
      </c>
      <c r="C34" s="24" t="inlineStr">
        <is>
          <t>Tier 2</t>
        </is>
      </c>
      <c r="D34" s="26" t="n">
        <v>0.003040369230770316</v>
      </c>
      <c r="E34" s="25">
        <f>D34*12</f>
        <v/>
      </c>
      <c r="F34" s="26" t="n">
        <v>0.005068467761668078</v>
      </c>
      <c r="G34" s="41" t="n">
        <v>0.5998596368243848</v>
      </c>
      <c r="H34" s="49" t="n">
        <v>0.5500744004175138</v>
      </c>
      <c r="I34" s="26" t="n">
        <v>-0.007026045238586576</v>
      </c>
      <c r="J34" s="26" t="n">
        <v>0.01310678370012721</v>
      </c>
      <c r="K34" s="41" t="n">
        <v>0.5261673963853811</v>
      </c>
      <c r="L34" s="27" t="n">
        <v>4.831139699898289</v>
      </c>
      <c r="M34" s="27" t="n">
        <v>-0.5614506064488565</v>
      </c>
      <c r="N34" s="50" t="n">
        <v>0.005909257423752479</v>
      </c>
      <c r="O34" s="41" t="n">
        <v>-0.2007099611541612</v>
      </c>
      <c r="P34" s="50" t="n">
        <v>0.1266123120852101</v>
      </c>
      <c r="Q34" s="25" t="n">
        <v>0.2332754884337419</v>
      </c>
      <c r="R34" s="26" t="n">
        <v>0.2082736021870161</v>
      </c>
      <c r="S34" s="26" t="n">
        <v>0.05047745663564931</v>
      </c>
      <c r="T34" s="27" t="n">
        <v>0.4389459099614496</v>
      </c>
      <c r="U34" s="26" t="n">
        <v>0.1457562370042829</v>
      </c>
      <c r="V34" s="26" t="n">
        <v>0.1457562370042829</v>
      </c>
      <c r="W34" s="26" t="n">
        <v>0.1755402316406275</v>
      </c>
      <c r="X34" s="8" t="inlineStr">
        <is>
          <t>Alpha Indistinguishable from Zero (p=0.55); Returns Explained by Factor Betas | Growth Tilt (HML&lt;0)</t>
        </is>
      </c>
    </row>
    <row r="35" ht="22" customHeight="1">
      <c r="A35" s="4" t="inlineStr">
        <is>
          <t>CVX</t>
        </is>
      </c>
      <c r="B35" s="5" t="inlineStr">
        <is>
          <t>NYSE</t>
        </is>
      </c>
      <c r="C35" s="19" t="inlineStr">
        <is>
          <t>Tier 2/3</t>
        </is>
      </c>
      <c r="D35" s="21" t="n">
        <v>0.002473067286408526</v>
      </c>
      <c r="E35" s="20">
        <f>D35*12</f>
        <v/>
      </c>
      <c r="F35" s="21" t="n">
        <v>0.005323169787150575</v>
      </c>
      <c r="G35" s="38" t="n">
        <v>0.4645854604108595</v>
      </c>
      <c r="H35" s="51" t="n">
        <v>0.6433259616023892</v>
      </c>
      <c r="I35" s="21" t="n">
        <v>-0.00809920739065889</v>
      </c>
      <c r="J35" s="21" t="n">
        <v>0.01304534196347594</v>
      </c>
      <c r="K35" s="38" t="n">
        <v>1.112286180491436</v>
      </c>
      <c r="L35" s="22" t="n">
        <v>9.72408112647695</v>
      </c>
      <c r="M35" s="22" t="n">
        <v>0.1163915585486293</v>
      </c>
      <c r="N35" s="48" t="n">
        <v>0.579353617203608</v>
      </c>
      <c r="O35" s="38" t="n">
        <v>0.9785615812330901</v>
      </c>
      <c r="P35" s="48" t="n">
        <v>1.965030360651099e-10</v>
      </c>
      <c r="Q35" s="20" t="n">
        <v>0.6376620944507181</v>
      </c>
      <c r="R35" s="21" t="n">
        <v>0.6258467279654154</v>
      </c>
      <c r="S35" s="21" t="n">
        <v>0.01892673908585289</v>
      </c>
      <c r="T35" s="22" t="n">
        <v>1.157200725818601</v>
      </c>
      <c r="U35" s="21" t="n">
        <v>0.4340199482227226</v>
      </c>
      <c r="V35" s="21" t="n">
        <v>0.4340199482227228</v>
      </c>
      <c r="W35" s="21" t="n">
        <v>0.2182944731057267</v>
      </c>
      <c r="X35" s="5" t="inlineStr">
        <is>
          <t>Alpha Indistinguishable from Zero (p=0.64); Returns Explained by Factor Betas | Value Tilt (HML&gt;0)</t>
        </is>
      </c>
    </row>
    <row r="36" ht="22" customHeight="1">
      <c r="A36" s="7" t="inlineStr">
        <is>
          <t>COP</t>
        </is>
      </c>
      <c r="B36" s="8" t="inlineStr">
        <is>
          <t>NYSE</t>
        </is>
      </c>
      <c r="C36" s="24" t="inlineStr">
        <is>
          <t>Tier 3</t>
        </is>
      </c>
      <c r="D36" s="26" t="n">
        <v>0.005378525063342409</v>
      </c>
      <c r="E36" s="25">
        <f>D36*12</f>
        <v/>
      </c>
      <c r="F36" s="26" t="n">
        <v>0.007890966817640878</v>
      </c>
      <c r="G36" s="41" t="n">
        <v>0.6816053327354378</v>
      </c>
      <c r="H36" s="49" t="n">
        <v>0.4972008153769263</v>
      </c>
      <c r="I36" s="26" t="n">
        <v>-0.01029361616068954</v>
      </c>
      <c r="J36" s="26" t="n">
        <v>0.02105066628737436</v>
      </c>
      <c r="K36" s="41" t="n">
        <v>1.171883428717687</v>
      </c>
      <c r="L36" s="27" t="n">
        <v>6.911249102745712</v>
      </c>
      <c r="M36" s="27" t="n">
        <v>0.7223913867181914</v>
      </c>
      <c r="N36" s="50" t="n">
        <v>0.02203874500129532</v>
      </c>
      <c r="O36" s="41" t="n">
        <v>1.490207078145626</v>
      </c>
      <c r="P36" s="50" t="n">
        <v>7.848077743233262e-11</v>
      </c>
      <c r="Q36" s="25" t="n">
        <v>0.5767950802251745</v>
      </c>
      <c r="R36" s="26" t="n">
        <v>0.5629949197977344</v>
      </c>
      <c r="S36" s="26" t="n">
        <v>0.03621748809078881</v>
      </c>
      <c r="T36" s="27" t="n">
        <v>1.319388879991252</v>
      </c>
      <c r="U36" s="26" t="n">
        <v>0.2998852298005769</v>
      </c>
      <c r="V36" s="26" t="n">
        <v>0.2998852298005773</v>
      </c>
      <c r="W36" s="26" t="n">
        <v>0.3330183980367232</v>
      </c>
      <c r="X36" s="8" t="inlineStr">
        <is>
          <t>Alpha Indistinguishable from Zero (p=0.50); Returns Explained by Factor Betas | Value Tilt (HML&gt;0)</t>
        </is>
      </c>
    </row>
    <row r="37" ht="22" customHeight="1">
      <c r="A37" s="4" t="inlineStr">
        <is>
          <t>SLB</t>
        </is>
      </c>
      <c r="B37" s="5" t="inlineStr">
        <is>
          <t>NYSE</t>
        </is>
      </c>
      <c r="C37" s="19" t="inlineStr">
        <is>
          <t>Tier 3</t>
        </is>
      </c>
      <c r="D37" s="21" t="n">
        <v>-0.006541874210008933</v>
      </c>
      <c r="E37" s="20">
        <f>D37*12</f>
        <v/>
      </c>
      <c r="F37" s="21" t="n">
        <v>0.007496895852523073</v>
      </c>
      <c r="G37" s="38" t="n">
        <v>-0.8726110564557559</v>
      </c>
      <c r="H37" s="51" t="n">
        <v>0.3851468927552617</v>
      </c>
      <c r="I37" s="21" t="n">
        <v>-0.02143135648231268</v>
      </c>
      <c r="J37" s="21" t="n">
        <v>0.008347608062294818</v>
      </c>
      <c r="K37" s="38" t="n">
        <v>1.51947278678682</v>
      </c>
      <c r="L37" s="22" t="n">
        <v>9.432217341722138</v>
      </c>
      <c r="M37" s="22" t="n">
        <v>0.4149892651348955</v>
      </c>
      <c r="N37" s="48" t="n">
        <v>0.1623923483022436</v>
      </c>
      <c r="O37" s="38" t="n">
        <v>1.778025947428526</v>
      </c>
      <c r="P37" s="48" t="n">
        <v>9.325873406851315e-15</v>
      </c>
      <c r="Q37" s="20" t="n">
        <v>0.6828801933371208</v>
      </c>
      <c r="R37" s="21" t="n">
        <v>0.6725393300763747</v>
      </c>
      <c r="S37" s="21" t="n">
        <v>-0.1024977075568346</v>
      </c>
      <c r="T37" s="22" t="n">
        <v>1.630613137392256</v>
      </c>
      <c r="U37" s="21" t="n">
        <v>0.3802607061776043</v>
      </c>
      <c r="V37" s="21" t="n">
        <v>0.3802607061776044</v>
      </c>
      <c r="W37" s="21" t="n">
        <v>0.3438769405349172</v>
      </c>
      <c r="X37" s="5" t="inlineStr">
        <is>
          <t>Alpha Indistinguishable from Zero (p=0.39); Returns Explained by Factor Betas | Value Tilt (HML&gt;0)</t>
        </is>
      </c>
    </row>
    <row r="38" ht="22" customHeight="1">
      <c r="A38" s="7" t="inlineStr">
        <is>
          <t>MCD</t>
        </is>
      </c>
      <c r="B38" s="8" t="inlineStr">
        <is>
          <t>NYSE</t>
        </is>
      </c>
      <c r="C38" s="24" t="inlineStr">
        <is>
          <t>Tier 2/3</t>
        </is>
      </c>
      <c r="D38" s="26" t="n">
        <v>0.007558661484534445</v>
      </c>
      <c r="E38" s="25">
        <f>D38*12</f>
        <v/>
      </c>
      <c r="F38" s="26" t="n">
        <v>0.004051290980295965</v>
      </c>
      <c r="G38" s="41" t="n">
        <v>1.865741444220393</v>
      </c>
      <c r="H38" s="49" t="n">
        <v>0.06526402222308048</v>
      </c>
      <c r="I38" s="26" t="n">
        <v>-0.0004875520974189015</v>
      </c>
      <c r="J38" s="26" t="n">
        <v>0.01560487506648779</v>
      </c>
      <c r="K38" s="41" t="n">
        <v>0.687898212583858</v>
      </c>
      <c r="L38" s="27" t="n">
        <v>7.901928478753677</v>
      </c>
      <c r="M38" s="27" t="n">
        <v>-0.5985840045859742</v>
      </c>
      <c r="N38" s="50" t="n">
        <v>0.0002991945409462904</v>
      </c>
      <c r="O38" s="41" t="n">
        <v>0.1675523340519995</v>
      </c>
      <c r="P38" s="50" t="n">
        <v>0.1108235023299036</v>
      </c>
      <c r="Q38" s="25" t="n">
        <v>0.4272549019800224</v>
      </c>
      <c r="R38" s="26" t="n">
        <v>0.4085784313924143</v>
      </c>
      <c r="S38" s="26" t="n">
        <v>0.1024261475250378</v>
      </c>
      <c r="T38" s="27" t="n">
        <v>0.605834749511753</v>
      </c>
      <c r="U38" s="26" t="n">
        <v>0.3246400004502925</v>
      </c>
      <c r="V38" s="26" t="n">
        <v>0.3246400004502928</v>
      </c>
      <c r="W38" s="26" t="n">
        <v>0.144347463913839</v>
      </c>
      <c r="X38" s="8" t="inlineStr">
        <is>
          <t>Marginally Significant Alpha (p=0.0653 &lt; 0.10) | Value Tilt (HML&gt;0)</t>
        </is>
      </c>
    </row>
    <row r="39" ht="22" customHeight="1">
      <c r="A39" s="4" t="inlineStr">
        <is>
          <t>NKE</t>
        </is>
      </c>
      <c r="B39" s="5" t="inlineStr">
        <is>
          <t>NYSE</t>
        </is>
      </c>
      <c r="C39" s="19" t="inlineStr">
        <is>
          <t>Tier 3</t>
        </is>
      </c>
      <c r="D39" s="21" t="n">
        <v>0.003772955747645628</v>
      </c>
      <c r="E39" s="20">
        <f>D39*12</f>
        <v/>
      </c>
      <c r="F39" s="21" t="n">
        <v>0.005967640981357681</v>
      </c>
      <c r="G39" s="38" t="n">
        <v>0.6322357124753262</v>
      </c>
      <c r="H39" s="51" t="n">
        <v>0.5288009708535217</v>
      </c>
      <c r="I39" s="21" t="n">
        <v>-0.008079294349905678</v>
      </c>
      <c r="J39" s="21" t="n">
        <v>0.01562520584519693</v>
      </c>
      <c r="K39" s="38" t="n">
        <v>0.9906250636271847</v>
      </c>
      <c r="L39" s="22" t="n">
        <v>7.725186532770334</v>
      </c>
      <c r="M39" s="22" t="n">
        <v>-0.1269967167549121</v>
      </c>
      <c r="N39" s="48" t="n">
        <v>0.5895126925920304</v>
      </c>
      <c r="O39" s="38" t="n">
        <v>-0.2252827107572596</v>
      </c>
      <c r="P39" s="48" t="n">
        <v>0.1450858566341404</v>
      </c>
      <c r="Q39" s="20" t="n">
        <v>0.4085736430125111</v>
      </c>
      <c r="R39" s="21" t="n">
        <v>0.3892880009368321</v>
      </c>
      <c r="S39" s="21" t="n">
        <v>0.04994756297088267</v>
      </c>
      <c r="T39" s="22" t="n">
        <v>0.9657444756306152</v>
      </c>
      <c r="U39" s="21" t="n">
        <v>0.3925897244402374</v>
      </c>
      <c r="V39" s="21" t="n">
        <v>0.3925897244402377</v>
      </c>
      <c r="W39" s="21" t="n">
        <v>0.1984367756093014</v>
      </c>
      <c r="X39" s="5" t="inlineStr">
        <is>
          <t>Alpha Indistinguishable from Zero (p=0.53); Returns Explained by Factor Betas | Growth Tilt (HML&lt;0)</t>
        </is>
      </c>
    </row>
    <row r="40" ht="22" customHeight="1">
      <c r="A40" s="7" t="inlineStr">
        <is>
          <t>SBUX</t>
        </is>
      </c>
      <c r="B40" s="8" t="inlineStr">
        <is>
          <t>NASDAQ</t>
        </is>
      </c>
      <c r="C40" s="24" t="inlineStr">
        <is>
          <t>Tier 3</t>
        </is>
      </c>
      <c r="D40" s="26" t="n">
        <v>0.004973050618399523</v>
      </c>
      <c r="E40" s="25">
        <f>D40*12</f>
        <v/>
      </c>
      <c r="F40" s="26" t="n">
        <v>0.00576617421017336</v>
      </c>
      <c r="G40" s="41" t="n">
        <v>0.8624523708675823</v>
      </c>
      <c r="H40" s="49" t="n">
        <v>0.3906812252393355</v>
      </c>
      <c r="I40" s="26" t="n">
        <v>-0.006479069081582277</v>
      </c>
      <c r="J40" s="26" t="n">
        <v>0.01642517031838132</v>
      </c>
      <c r="K40" s="41" t="n">
        <v>0.8582455835601612</v>
      </c>
      <c r="L40" s="27" t="n">
        <v>6.926696652221967</v>
      </c>
      <c r="M40" s="27" t="n">
        <v>-0.3228880001100244</v>
      </c>
      <c r="N40" s="50" t="n">
        <v>0.1576257378934931</v>
      </c>
      <c r="O40" s="41" t="n">
        <v>-0.1265901435945384</v>
      </c>
      <c r="P40" s="50" t="n">
        <v>0.3949724456758097</v>
      </c>
      <c r="Q40" s="25" t="n">
        <v>0.3455347755904595</v>
      </c>
      <c r="R40" s="26" t="n">
        <v>0.3241935182727571</v>
      </c>
      <c r="S40" s="26" t="n">
        <v>0.06781745475366563</v>
      </c>
      <c r="T40" s="27" t="n">
        <v>0.8077651720271384</v>
      </c>
      <c r="U40" s="26" t="n">
        <v>0.3255370831432577</v>
      </c>
      <c r="V40" s="26" t="n">
        <v>0.3255370831432579</v>
      </c>
      <c r="W40" s="26" t="n">
        <v>0.1920667794260485</v>
      </c>
      <c r="X40" s="8" t="inlineStr">
        <is>
          <t>Alpha Indistinguishable from Zero (p=0.39); Returns Explained by Factor Betas | Core/Neutral HML</t>
        </is>
      </c>
    </row>
    <row r="41" ht="22" customHeight="1">
      <c r="A41" s="4" t="inlineStr">
        <is>
          <t>DUK</t>
        </is>
      </c>
      <c r="B41" s="5" t="inlineStr">
        <is>
          <t>NYSE</t>
        </is>
      </c>
      <c r="C41" s="19" t="inlineStr">
        <is>
          <t>Tier 2</t>
        </is>
      </c>
      <c r="D41" s="21" t="n">
        <v>0.002692557507180115</v>
      </c>
      <c r="E41" s="20">
        <f>D41*12</f>
        <v/>
      </c>
      <c r="F41" s="21" t="n">
        <v>0.004749786461711919</v>
      </c>
      <c r="G41" s="38" t="n">
        <v>0.5668796963578995</v>
      </c>
      <c r="H41" s="51" t="n">
        <v>0.5721764173817965</v>
      </c>
      <c r="I41" s="21" t="n">
        <v>-0.006740928392865651</v>
      </c>
      <c r="J41" s="21" t="n">
        <v>0.01212604340722588</v>
      </c>
      <c r="K41" s="38" t="n">
        <v>0.3783852929497045</v>
      </c>
      <c r="L41" s="22" t="n">
        <v>3.707340821980627</v>
      </c>
      <c r="M41" s="22" t="n">
        <v>-0.6744091018273604</v>
      </c>
      <c r="N41" s="48" t="n">
        <v>0.0004939252427988983</v>
      </c>
      <c r="O41" s="38" t="n">
        <v>0.06426139741930172</v>
      </c>
      <c r="P41" s="48" t="n">
        <v>0.5996845924988348</v>
      </c>
      <c r="Q41" s="20" t="n">
        <v>0.1894003211413271</v>
      </c>
      <c r="R41" s="21" t="n">
        <v>0.1629677229176747</v>
      </c>
      <c r="S41" s="21" t="n">
        <v>0.04656091758486842</v>
      </c>
      <c r="T41" s="22" t="n">
        <v>0.2823605571737089</v>
      </c>
      <c r="U41" s="21" t="n">
        <v>0.07260816829200634</v>
      </c>
      <c r="V41" s="21" t="n">
        <v>0.07260816829200641</v>
      </c>
      <c r="W41" s="21" t="n">
        <v>0.1666983299441154</v>
      </c>
      <c r="X41" s="5" t="inlineStr">
        <is>
          <t>Alpha Indistinguishable from Zero (p=0.57); Returns Explained by Factor Betas | Core/Neutral HML</t>
        </is>
      </c>
    </row>
    <row r="42" ht="22" customHeight="1">
      <c r="A42" s="7" t="inlineStr">
        <is>
          <t>AEP</t>
        </is>
      </c>
      <c r="B42" s="8" t="inlineStr">
        <is>
          <t>NASDAQ</t>
        </is>
      </c>
      <c r="C42" s="24" t="inlineStr">
        <is>
          <t>Tier 2</t>
        </is>
      </c>
      <c r="D42" s="26" t="n">
        <v>0.004339670993155239</v>
      </c>
      <c r="E42" s="25">
        <f>D42*12</f>
        <v/>
      </c>
      <c r="F42" s="26" t="n">
        <v>0.004979947919908862</v>
      </c>
      <c r="G42" s="41" t="n">
        <v>0.8714289914169744</v>
      </c>
      <c r="H42" s="49" t="n">
        <v>0.38578835287933</v>
      </c>
      <c r="I42" s="26" t="n">
        <v>-0.005550935429704994</v>
      </c>
      <c r="J42" s="26" t="n">
        <v>0.01423027741601547</v>
      </c>
      <c r="K42" s="41" t="n">
        <v>0.4175802761126109</v>
      </c>
      <c r="L42" s="27" t="n">
        <v>3.902271901752606</v>
      </c>
      <c r="M42" s="27" t="n">
        <v>-0.8307550112488736</v>
      </c>
      <c r="N42" s="50" t="n">
        <v>5.227401459673153e-05</v>
      </c>
      <c r="O42" s="41" t="n">
        <v>0.06652264499401264</v>
      </c>
      <c r="P42" s="50" t="n">
        <v>0.6043037084271576</v>
      </c>
      <c r="Q42" s="25" t="n">
        <v>0.2243131141104121</v>
      </c>
      <c r="R42" s="26" t="n">
        <v>0.199018976527056</v>
      </c>
      <c r="S42" s="26" t="n">
        <v>0.06973571898238264</v>
      </c>
      <c r="T42" s="27" t="n">
        <v>0.2989325756203783</v>
      </c>
      <c r="U42" s="26" t="n">
        <v>0.07084390613673786</v>
      </c>
      <c r="V42" s="26" t="n">
        <v>0.07084390613673784</v>
      </c>
      <c r="W42" s="26" t="n">
        <v>0.178835881714804</v>
      </c>
      <c r="X42" s="8" t="inlineStr">
        <is>
          <t>Alpha Indistinguishable from Zero (p=0.39); Returns Explained by Factor Betas | Core/Neutral HML</t>
        </is>
      </c>
    </row>
    <row r="43" ht="22" customHeight="1">
      <c r="A43" s="4" t="inlineStr">
        <is>
          <t>SO</t>
        </is>
      </c>
      <c r="B43" s="5" t="inlineStr">
        <is>
          <t>NYSE</t>
        </is>
      </c>
      <c r="C43" s="19" t="inlineStr">
        <is>
          <t>Tier 2</t>
        </is>
      </c>
      <c r="D43" s="21" t="n">
        <v>0.004347971822369455</v>
      </c>
      <c r="E43" s="20">
        <f>D43*12</f>
        <v/>
      </c>
      <c r="F43" s="21" t="n">
        <v>0.004922690823173372</v>
      </c>
      <c r="G43" s="38" t="n">
        <v>0.8832510467449125</v>
      </c>
      <c r="H43" s="51" t="n">
        <v>0.3794028555161397</v>
      </c>
      <c r="I43" s="21" t="n">
        <v>-0.005428917064116073</v>
      </c>
      <c r="J43" s="21" t="n">
        <v>0.01412486070885498</v>
      </c>
      <c r="K43" s="38" t="n">
        <v>0.4354531406625983</v>
      </c>
      <c r="L43" s="22" t="n">
        <v>4.116624152122312</v>
      </c>
      <c r="M43" s="22" t="n">
        <v>-0.6542198949512698</v>
      </c>
      <c r="N43" s="48" t="n">
        <v>0.001060565870172558</v>
      </c>
      <c r="O43" s="38" t="n">
        <v>0.1178765239602768</v>
      </c>
      <c r="P43" s="48" t="n">
        <v>0.3536897014365876</v>
      </c>
      <c r="Q43" s="20" t="n">
        <v>0.2038665035434341</v>
      </c>
      <c r="R43" s="21" t="n">
        <v>0.1779056286589809</v>
      </c>
      <c r="S43" s="21" t="n">
        <v>0.06553402066074154</v>
      </c>
      <c r="T43" s="22" t="n">
        <v>0.3438935736703504</v>
      </c>
      <c r="U43" s="21" t="n">
        <v>0.09848000470279061</v>
      </c>
      <c r="V43" s="21" t="n">
        <v>0.09848000470279064</v>
      </c>
      <c r="W43" s="21" t="n">
        <v>0.1718802741180495</v>
      </c>
      <c r="X43" s="5" t="inlineStr">
        <is>
          <t>Alpha Indistinguishable from Zero (p=0.38); Returns Explained by Factor Betas | Core/Neutral HML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2" customWidth="1" min="12" max="12"/>
    <col width="14" customWidth="1" min="13" max="13"/>
  </cols>
  <sheetData>
    <row r="1" ht="28" customHeight="1">
      <c r="A1" s="1" t="inlineStr">
        <is>
          <t>ENDOWMENT SURPLUS CAPITAL OPTIMIZATION, RISK AVERSION (λ) REGIMES, MCTR &amp; ETF LOOK-THROUGH OVERLAP</t>
        </is>
      </c>
    </row>
    <row r="3" ht="22" customHeight="1">
      <c r="A3" s="2" t="inlineStr">
        <is>
          <t>1. Optimal Endowment Portfolio Weights &amp; Marginal Contribution to Risk (MCTR) Across Risk-Aversion Regimes (λ)</t>
        </is>
      </c>
    </row>
    <row r="4" ht="28" customHeight="1">
      <c r="A4" s="3" t="inlineStr">
        <is>
          <t>Ticker</t>
        </is>
      </c>
      <c r="B4" s="3" t="inlineStr">
        <is>
          <t>Asset Name</t>
        </is>
      </c>
      <c r="C4" s="3" t="inlineStr">
        <is>
          <t>Endowment Bucket / Role</t>
        </is>
      </c>
      <c r="D4" s="3" t="inlineStr">
        <is>
          <t>Conservative Weight (λ=6.0)</t>
        </is>
      </c>
      <c r="E4" s="3" t="inlineStr">
        <is>
          <t>Kappa Baseline Weight (λ=3.5)</t>
        </is>
      </c>
      <c r="F4" s="3" t="inlineStr">
        <is>
          <t>Aggressive Growth Weight (λ=2.0)</t>
        </is>
      </c>
      <c r="G4" s="3" t="inlineStr">
        <is>
          <t>Standalone Ann. Geom Return (2015–2022)</t>
        </is>
      </c>
      <c r="H4" s="3" t="inlineStr">
        <is>
          <t>Standalone Ann. Vol (2015–2022)</t>
        </is>
      </c>
      <c r="I4" s="3" t="inlineStr">
        <is>
          <t>Downside Beta (vs VTI)</t>
        </is>
      </c>
      <c r="J4" s="3" t="inlineStr">
        <is>
          <t>Baseline MCTR (Marginal Risk)</t>
        </is>
      </c>
      <c r="K4" s="3" t="inlineStr">
        <is>
          <t>Baseline % Risk Contribution (CCTR)</t>
        </is>
      </c>
      <c r="L4" s="3" t="inlineStr">
        <is>
          <t>Risk-Budget Efficiency (Weight vs Risk Share)</t>
        </is>
      </c>
    </row>
    <row r="5" ht="20" customHeight="1">
      <c r="A5" s="4" t="inlineStr">
        <is>
          <t>VTI</t>
        </is>
      </c>
      <c r="B5" s="5" t="inlineStr">
        <is>
          <t>Vanguard Total Stock Market ETF</t>
        </is>
      </c>
      <c r="C5" s="5" t="inlineStr">
        <is>
          <t>Tier 1: Liquid Core Beta &amp; Policy Benchmark</t>
        </is>
      </c>
      <c r="D5" s="21" t="n">
        <v>0.08</v>
      </c>
      <c r="E5" s="15" t="n">
        <v>0.12</v>
      </c>
      <c r="F5" s="21" t="n">
        <v>0.14</v>
      </c>
      <c r="G5" s="21" t="n">
        <v>0.0959381126785126</v>
      </c>
      <c r="H5" s="21" t="n">
        <v>0.1630921637898694</v>
      </c>
      <c r="I5" s="22" t="n">
        <v>1</v>
      </c>
      <c r="J5" s="21" t="n">
        <v>0.1569073792476248</v>
      </c>
      <c r="K5" s="20" t="n">
        <v>0.138205075060415</v>
      </c>
      <c r="L5" s="5" t="inlineStr">
        <is>
          <t>Growth Risk Driver (Risk% &gt;= Weight%)</t>
        </is>
      </c>
    </row>
    <row r="6" ht="20" customHeight="1">
      <c r="A6" s="7" t="inlineStr">
        <is>
          <t>USMV</t>
        </is>
      </c>
      <c r="B6" s="8" t="inlineStr">
        <is>
          <t>iShares MSCI USA Min Vol Factor ETF</t>
        </is>
      </c>
      <c r="C6" s="8" t="inlineStr">
        <is>
          <t>Tier 2: Defensive Low-Volatility Factor Sleeve</t>
        </is>
      </c>
      <c r="D6" s="26" t="n">
        <v>0.16</v>
      </c>
      <c r="E6" s="15" t="n">
        <v>0.1</v>
      </c>
      <c r="F6" s="26" t="n">
        <v>0.04</v>
      </c>
      <c r="G6" s="26" t="n">
        <v>0.09547005529260821</v>
      </c>
      <c r="H6" s="26" t="n">
        <v>0.1284065624059179</v>
      </c>
      <c r="I6" s="27" t="n">
        <v>0.7508425654370469</v>
      </c>
      <c r="J6" s="26" t="n">
        <v>0.1217411069921469</v>
      </c>
      <c r="K6" s="25" t="n">
        <v>0.08935865492998246</v>
      </c>
      <c r="L6" s="8" t="inlineStr">
        <is>
          <t>Risk Reducer (Risk% &lt; Weight%)</t>
        </is>
      </c>
    </row>
    <row r="7" ht="20" customHeight="1">
      <c r="A7" s="4" t="inlineStr">
        <is>
          <t>SCHD</t>
        </is>
      </c>
      <c r="B7" s="5" t="inlineStr">
        <is>
          <t>Schwab U.S. Dividend Equity ETF</t>
        </is>
      </c>
      <c r="C7" s="5" t="inlineStr">
        <is>
          <t>Tier 2: Quality Cash-Flow &amp; Spending-Rule Yield Sleeve</t>
        </is>
      </c>
      <c r="D7" s="21" t="n">
        <v>0.14</v>
      </c>
      <c r="E7" s="15" t="n">
        <v>0.1</v>
      </c>
      <c r="F7" s="21" t="n">
        <v>0.06</v>
      </c>
      <c r="G7" s="21" t="n">
        <v>0.1177705005396976</v>
      </c>
      <c r="H7" s="21" t="n">
        <v>0.1537534169156254</v>
      </c>
      <c r="I7" s="22" t="n">
        <v>0.8377298937361961</v>
      </c>
      <c r="J7" s="21" t="n">
        <v>0.1456962828629689</v>
      </c>
      <c r="K7" s="20" t="n">
        <v>0.1069418882955696</v>
      </c>
      <c r="L7" s="5" t="inlineStr">
        <is>
          <t>Growth Risk Driver (Risk% &gt;= Weight%)</t>
        </is>
      </c>
    </row>
    <row r="8" ht="20" customHeight="1">
      <c r="A8" s="7" t="inlineStr">
        <is>
          <t>VTV</t>
        </is>
      </c>
      <c r="B8" s="8" t="inlineStr">
        <is>
          <t>Vanguard Value ETF</t>
        </is>
      </c>
      <c r="C8" s="8" t="inlineStr">
        <is>
          <t>Tier 2/3: Value &amp; Duration-Defense Factor Sleeve</t>
        </is>
      </c>
      <c r="D8" s="26" t="n">
        <v>0.08</v>
      </c>
      <c r="E8" s="15" t="n">
        <v>0.06</v>
      </c>
      <c r="F8" s="26" t="n">
        <v>0.04</v>
      </c>
      <c r="G8" s="26" t="n">
        <v>0.09358115627332309</v>
      </c>
      <c r="H8" s="26" t="n">
        <v>0.1547886383243219</v>
      </c>
      <c r="I8" s="27" t="n">
        <v>0.8843827788942324</v>
      </c>
      <c r="J8" s="26" t="n">
        <v>0.1460344332777231</v>
      </c>
      <c r="K8" s="25" t="n">
        <v>0.06431405555726406</v>
      </c>
      <c r="L8" s="8" t="inlineStr">
        <is>
          <t>Growth Risk Driver (Risk% &gt;= Weight%)</t>
        </is>
      </c>
    </row>
    <row r="9" ht="20" customHeight="1">
      <c r="A9" s="4" t="inlineStr">
        <is>
          <t>RSP</t>
        </is>
      </c>
      <c r="B9" s="5" t="inlineStr">
        <is>
          <t>Invesco S&amp;P 500 Equal Weight ETF</t>
        </is>
      </c>
      <c r="C9" s="5" t="inlineStr">
        <is>
          <t>Tier 1/3: Anti-Concentration &amp; Mid-Cap Rebalancing Sleeve</t>
        </is>
      </c>
      <c r="D9" s="21" t="n">
        <v>0.04</v>
      </c>
      <c r="E9" s="15" t="n">
        <v>0.05</v>
      </c>
      <c r="F9" s="21" t="n">
        <v>0.06</v>
      </c>
      <c r="G9" s="21" t="n">
        <v>0.09199019845368062</v>
      </c>
      <c r="H9" s="21" t="n">
        <v>0.1719333221855955</v>
      </c>
      <c r="I9" s="22" t="n">
        <v>1.088669922297751</v>
      </c>
      <c r="J9" s="21" t="n">
        <v>0.1615655017716529</v>
      </c>
      <c r="K9" s="20" t="n">
        <v>0.05929499196328937</v>
      </c>
      <c r="L9" s="5" t="inlineStr">
        <is>
          <t>Growth Risk Driver (Risk% &gt;= Weight%)</t>
        </is>
      </c>
    </row>
    <row r="10" ht="20" customHeight="1">
      <c r="A10" s="7" t="inlineStr">
        <is>
          <t>QQQ</t>
        </is>
      </c>
      <c r="B10" s="8" t="inlineStr">
        <is>
          <t>Invesco QQQ Trust</t>
        </is>
      </c>
      <c r="C10" s="8" t="inlineStr">
        <is>
          <t>Tier 3: High-Conviction Secular Growth &amp; Innovation Sleeve</t>
        </is>
      </c>
      <c r="D10" s="26" t="n">
        <v>0.02</v>
      </c>
      <c r="E10" s="25" t="n">
        <v>0.04</v>
      </c>
      <c r="F10" s="26" t="n">
        <v>0.08</v>
      </c>
      <c r="G10" s="26" t="n">
        <v>0.1348600390616463</v>
      </c>
      <c r="H10" s="26" t="n">
        <v>0.1908237932581453</v>
      </c>
      <c r="I10" s="27" t="n">
        <v>0.9360004849090349</v>
      </c>
      <c r="J10" s="26" t="n">
        <v>0.1679153072078697</v>
      </c>
      <c r="K10" s="25" t="n">
        <v>0.04930031068377893</v>
      </c>
      <c r="L10" s="8" t="inlineStr">
        <is>
          <t>Growth Risk Driver (Risk% &gt;= Weight%)</t>
        </is>
      </c>
    </row>
    <row r="11" ht="20" customHeight="1">
      <c r="A11" s="4" t="inlineStr">
        <is>
          <t>MSFT</t>
        </is>
      </c>
      <c r="B11" s="5" t="inlineStr">
        <is>
          <t>Microsoft Corp.</t>
        </is>
      </c>
      <c r="C11" s="5" t="inlineStr">
        <is>
          <t>Tier 3: High-Conviction Secular Growth &amp; Quality Compounder</t>
        </is>
      </c>
      <c r="D11" s="21" t="n">
        <v>0.03</v>
      </c>
      <c r="E11" s="15" t="n">
        <v>0.06</v>
      </c>
      <c r="F11" s="21" t="n">
        <v>0.09</v>
      </c>
      <c r="G11" s="21" t="n">
        <v>0.2488177044804962</v>
      </c>
      <c r="H11" s="21" t="n">
        <v>0.2249861762414039</v>
      </c>
      <c r="I11" s="22" t="n">
        <v>0.6183920120858439</v>
      </c>
      <c r="J11" s="21" t="n">
        <v>0.1595362406004698</v>
      </c>
      <c r="K11" s="20" t="n">
        <v>0.07026029691136444</v>
      </c>
      <c r="L11" s="5" t="inlineStr">
        <is>
          <t>Growth Risk Driver (Risk% &gt;= Weight%)</t>
        </is>
      </c>
    </row>
    <row r="12" ht="20" customHeight="1">
      <c r="A12" s="7" t="inlineStr">
        <is>
          <t>AAPL</t>
        </is>
      </c>
      <c r="B12" s="8" t="inlineStr">
        <is>
          <t>Apple Inc.</t>
        </is>
      </c>
      <c r="C12" s="8" t="inlineStr">
        <is>
          <t>Tier 3: Ecosystem Compounder &amp; Cash-Return Titan</t>
        </is>
      </c>
      <c r="D12" s="26" t="n">
        <v>0.01</v>
      </c>
      <c r="E12" s="25" t="n">
        <v>0.03</v>
      </c>
      <c r="F12" s="26" t="n">
        <v>0.05</v>
      </c>
      <c r="G12" s="26" t="n">
        <v>0.229765844103091</v>
      </c>
      <c r="H12" s="26" t="n">
        <v>0.2912963320701282</v>
      </c>
      <c r="I12" s="27" t="n">
        <v>0.9499394414910344</v>
      </c>
      <c r="J12" s="26" t="n">
        <v>0.1919155405674945</v>
      </c>
      <c r="K12" s="25" t="n">
        <v>0.04226012475731317</v>
      </c>
      <c r="L12" s="8" t="inlineStr">
        <is>
          <t>Growth Risk Driver (Risk% &gt;= Weight%)</t>
        </is>
      </c>
    </row>
    <row r="13" ht="20" customHeight="1">
      <c r="A13" s="4" t="inlineStr">
        <is>
          <t>TXN</t>
        </is>
      </c>
      <c r="B13" s="5" t="inlineStr">
        <is>
          <t>Texas Instruments Inc.</t>
        </is>
      </c>
      <c r="C13" s="5" t="inlineStr">
        <is>
          <t>Tier 2/3: Analog Semiconductor FCF-per-Share Compounder</t>
        </is>
      </c>
      <c r="D13" s="21" t="n">
        <v>0.02</v>
      </c>
      <c r="E13" s="20" t="n">
        <v>0.03</v>
      </c>
      <c r="F13" s="21" t="n">
        <v>0.04</v>
      </c>
      <c r="G13" s="21" t="n">
        <v>0.1821454171254122</v>
      </c>
      <c r="H13" s="21" t="n">
        <v>0.224005129606846</v>
      </c>
      <c r="I13" s="22" t="n">
        <v>0.9554769710052833</v>
      </c>
      <c r="J13" s="21" t="n">
        <v>0.1610805818670506</v>
      </c>
      <c r="K13" s="20" t="n">
        <v>0.03547021499954096</v>
      </c>
      <c r="L13" s="5" t="inlineStr">
        <is>
          <t>Growth Risk Driver (Risk% &gt;= Weight%)</t>
        </is>
      </c>
    </row>
    <row r="14" ht="20" customHeight="1">
      <c r="A14" s="7" t="inlineStr">
        <is>
          <t>UNH</t>
        </is>
      </c>
      <c r="B14" s="8" t="inlineStr">
        <is>
          <t>UnitedHealth Group Inc.</t>
        </is>
      </c>
      <c r="C14" s="8" t="inlineStr">
        <is>
          <t>Tier 2/3: Quality Compounder &amp; Acyclical Healthcare Core</t>
        </is>
      </c>
      <c r="D14" s="26" t="n">
        <v>0.04</v>
      </c>
      <c r="E14" s="15" t="n">
        <v>0.06</v>
      </c>
      <c r="F14" s="26" t="n">
        <v>0.08</v>
      </c>
      <c r="G14" s="26" t="n">
        <v>0.2490112358862293</v>
      </c>
      <c r="H14" s="26" t="n">
        <v>0.2039677803765965</v>
      </c>
      <c r="I14" s="27" t="n">
        <v>0.2031354485944162</v>
      </c>
      <c r="J14" s="26" t="n">
        <v>0.1239257676296797</v>
      </c>
      <c r="K14" s="25" t="n">
        <v>0.05457732485019087</v>
      </c>
      <c r="L14" s="8" t="inlineStr">
        <is>
          <t>Risk Reducer (Risk% &lt; Weight%)</t>
        </is>
      </c>
    </row>
    <row r="15" ht="20" customHeight="1">
      <c r="A15" s="4" t="inlineStr">
        <is>
          <t>JNJ</t>
        </is>
      </c>
      <c r="B15" s="5" t="inlineStr">
        <is>
          <t>Johnson &amp; Johnson</t>
        </is>
      </c>
      <c r="C15" s="5" t="inlineStr">
        <is>
          <t>Tier 2: Defensive Quality &amp; Low-Volatility Ballast</t>
        </is>
      </c>
      <c r="D15" s="21" t="n">
        <v>0.07000000000000001</v>
      </c>
      <c r="E15" s="15" t="n">
        <v>0.05</v>
      </c>
      <c r="F15" s="21" t="n">
        <v>0.02</v>
      </c>
      <c r="G15" s="21" t="n">
        <v>0.09681032496266018</v>
      </c>
      <c r="H15" s="21" t="n">
        <v>0.1560654129904901</v>
      </c>
      <c r="I15" s="22" t="n">
        <v>0.2372494262189242</v>
      </c>
      <c r="J15" s="21" t="n">
        <v>0.1098275950048956</v>
      </c>
      <c r="K15" s="20" t="n">
        <v>0.04030703517615213</v>
      </c>
      <c r="L15" s="5" t="inlineStr">
        <is>
          <t>Risk Reducer (Risk% &lt; Weight%)</t>
        </is>
      </c>
    </row>
    <row r="16" ht="20" customHeight="1">
      <c r="A16" s="7" t="inlineStr">
        <is>
          <t>LLY</t>
        </is>
      </c>
      <c r="B16" s="8" t="inlineStr">
        <is>
          <t>Eli Lilly and Co.</t>
        </is>
      </c>
      <c r="C16" s="8" t="inlineStr">
        <is>
          <t>Tier 3: High-Alpha Metabolic/Incretin &amp; Immunology Leader</t>
        </is>
      </c>
      <c r="D16" s="26" t="n">
        <v>0.04</v>
      </c>
      <c r="E16" s="15" t="n">
        <v>0.05</v>
      </c>
      <c r="F16" s="26" t="n">
        <v>0.07000000000000001</v>
      </c>
      <c r="G16" s="26" t="n">
        <v>0.2589513653836069</v>
      </c>
      <c r="H16" s="26" t="n">
        <v>0.2340366415402408</v>
      </c>
      <c r="I16" s="27" t="n">
        <v>0.1011968313149673</v>
      </c>
      <c r="J16" s="26" t="n">
        <v>0.07714295954303375</v>
      </c>
      <c r="K16" s="25" t="n">
        <v>0.02831168235774388</v>
      </c>
      <c r="L16" s="8" t="inlineStr">
        <is>
          <t>Risk Reducer (Risk% &lt; Weight%)</t>
        </is>
      </c>
    </row>
    <row r="17" ht="20" customHeight="1">
      <c r="A17" s="4" t="inlineStr">
        <is>
          <t>MRK</t>
        </is>
      </c>
      <c r="B17" s="5" t="inlineStr">
        <is>
          <t>Merck &amp; Co., Inc.</t>
        </is>
      </c>
      <c r="C17" s="5" t="inlineStr">
        <is>
          <t>Tier 2: Negative-Downside-Beta Oncology &amp; Vaccine Anchor</t>
        </is>
      </c>
      <c r="D17" s="21" t="n">
        <v>0.05</v>
      </c>
      <c r="E17" s="20" t="n">
        <v>0.03</v>
      </c>
      <c r="F17" s="21" t="n">
        <v>0.02</v>
      </c>
      <c r="G17" s="21" t="n">
        <v>0.1284925907427097</v>
      </c>
      <c r="H17" s="21" t="n">
        <v>0.1970441055305024</v>
      </c>
      <c r="I17" s="22" t="n">
        <v>-0.4423200918152081</v>
      </c>
      <c r="J17" s="21" t="n">
        <v>0.09196371858183838</v>
      </c>
      <c r="K17" s="20" t="n">
        <v>0.02025056547751602</v>
      </c>
      <c r="L17" s="5" t="inlineStr">
        <is>
          <t>Risk Reducer (Risk% &lt; Weight%)</t>
        </is>
      </c>
    </row>
    <row r="18" ht="20" customHeight="1">
      <c r="A18" s="7" t="inlineStr">
        <is>
          <t>JPM</t>
        </is>
      </c>
      <c r="B18" s="8" t="inlineStr">
        <is>
          <t>JPMorgan Chase &amp; Co.</t>
        </is>
      </c>
      <c r="C18" s="8" t="inlineStr">
        <is>
          <t>Tier 3: Cyclical Value &amp; Rising-Rate Net Interest Income Hedge</t>
        </is>
      </c>
      <c r="D18" s="26" t="n">
        <v>0.02</v>
      </c>
      <c r="E18" s="25" t="n">
        <v>0.03</v>
      </c>
      <c r="F18" s="26" t="n">
        <v>0.04</v>
      </c>
      <c r="G18" s="26" t="n">
        <v>0.1310890305797474</v>
      </c>
      <c r="H18" s="26" t="n">
        <v>0.2538632422249888</v>
      </c>
      <c r="I18" s="27" t="n">
        <v>1.409895388556131</v>
      </c>
      <c r="J18" s="26" t="n">
        <v>0.177554408711295</v>
      </c>
      <c r="K18" s="25" t="n">
        <v>0.03909777937296022</v>
      </c>
      <c r="L18" s="8" t="inlineStr">
        <is>
          <t>Growth Risk Driver (Risk% &gt;= Weight%)</t>
        </is>
      </c>
    </row>
    <row r="19" ht="20" customHeight="1">
      <c r="A19" s="4" t="inlineStr">
        <is>
          <t>BLK</t>
        </is>
      </c>
      <c r="B19" s="5" t="inlineStr">
        <is>
          <t>BlackRock, Inc.</t>
        </is>
      </c>
      <c r="C19" s="5" t="inlineStr">
        <is>
          <t>Tier 3: Capital-Light Asset Management &amp; FinTech Compounder</t>
        </is>
      </c>
      <c r="D19" s="21" t="n">
        <v>0.01</v>
      </c>
      <c r="E19" s="20" t="n">
        <v>0.02</v>
      </c>
      <c r="F19" s="21" t="n">
        <v>0.03</v>
      </c>
      <c r="G19" s="21" t="n">
        <v>0.1170984938900894</v>
      </c>
      <c r="H19" s="21" t="n">
        <v>0.2565609663693161</v>
      </c>
      <c r="I19" s="22" t="n">
        <v>1.108933872159645</v>
      </c>
      <c r="J19" s="21" t="n">
        <v>0.2076569972790781</v>
      </c>
      <c r="K19" s="20" t="n">
        <v>0.03048427999731337</v>
      </c>
      <c r="L19" s="5" t="inlineStr">
        <is>
          <t>Growth Risk Driver (Risk% &gt;= Weight%)</t>
        </is>
      </c>
    </row>
    <row r="20" ht="20" customHeight="1">
      <c r="A20" s="7" t="inlineStr">
        <is>
          <t>PG</t>
        </is>
      </c>
      <c r="B20" s="8" t="inlineStr">
        <is>
          <t>Procter &amp; Gamble Co.</t>
        </is>
      </c>
      <c r="C20" s="8" t="inlineStr">
        <is>
          <t>Tier 2: Defensive Cash-Flow &amp; Low-Beta Anchor</t>
        </is>
      </c>
      <c r="D20" s="26" t="n">
        <v>0.06</v>
      </c>
      <c r="E20" s="25" t="n">
        <v>0.04</v>
      </c>
      <c r="F20" s="26" t="n">
        <v>0.02</v>
      </c>
      <c r="G20" s="26" t="n">
        <v>0.09699617200713107</v>
      </c>
      <c r="H20" s="26" t="n">
        <v>0.1594563286206907</v>
      </c>
      <c r="I20" s="27" t="n">
        <v>0.0278394153774793</v>
      </c>
      <c r="J20" s="26" t="n">
        <v>0.08396840733277004</v>
      </c>
      <c r="K20" s="25" t="n">
        <v>0.0246533126607867</v>
      </c>
      <c r="L20" s="8" t="inlineStr">
        <is>
          <t>Risk Reducer (Risk% &lt; Weight%)</t>
        </is>
      </c>
    </row>
    <row r="21" ht="20" customHeight="1">
      <c r="A21" s="4" t="inlineStr">
        <is>
          <t>PEP</t>
        </is>
      </c>
      <c r="B21" s="5" t="inlineStr">
        <is>
          <t>PepsiCo, Inc.</t>
        </is>
      </c>
      <c r="C21" s="5" t="inlineStr">
        <is>
          <t>Tier 2: Snack-Plus-Beverage Quality Defensive Leader</t>
        </is>
      </c>
      <c r="D21" s="21" t="n">
        <v>0.05</v>
      </c>
      <c r="E21" s="20" t="n">
        <v>0.03</v>
      </c>
      <c r="F21" s="21" t="n">
        <v>0.02</v>
      </c>
      <c r="G21" s="21" t="n">
        <v>0.1160823274895977</v>
      </c>
      <c r="H21" s="21" t="n">
        <v>0.1526688110003387</v>
      </c>
      <c r="I21" s="22" t="n">
        <v>0.3153107976128699</v>
      </c>
      <c r="J21" s="21" t="n">
        <v>0.1081383332227457</v>
      </c>
      <c r="K21" s="20" t="n">
        <v>0.02381224282060649</v>
      </c>
      <c r="L21" s="5" t="inlineStr">
        <is>
          <t>Risk Reducer (Risk% &lt; Weight%)</t>
        </is>
      </c>
    </row>
    <row r="22" ht="20" customHeight="1">
      <c r="A22" s="7" t="inlineStr">
        <is>
          <t>WMT</t>
        </is>
      </c>
      <c r="B22" s="8" t="inlineStr">
        <is>
          <t>Walmart Inc.</t>
        </is>
      </c>
      <c r="C22" s="8" t="inlineStr">
        <is>
          <t>Tier 2: Counter-Cyclical Trade-Down Hedge &amp; Negative Downside Beta</t>
        </is>
      </c>
      <c r="D22" s="26" t="n">
        <v>0.04</v>
      </c>
      <c r="E22" s="25" t="n">
        <v>0.03</v>
      </c>
      <c r="F22" s="26" t="n">
        <v>0.02</v>
      </c>
      <c r="G22" s="26" t="n">
        <v>0.08794603303501769</v>
      </c>
      <c r="H22" s="26" t="n">
        <v>0.1901820661803493</v>
      </c>
      <c r="I22" s="27" t="n">
        <v>-0.3522736307279051</v>
      </c>
      <c r="J22" s="26" t="n">
        <v>0.09126770672657016</v>
      </c>
      <c r="K22" s="25" t="n">
        <v>0.0200973024965754</v>
      </c>
      <c r="L22" s="8" t="inlineStr">
        <is>
          <t>Risk Reducer (Risk% &lt; Weight%)</t>
        </is>
      </c>
    </row>
    <row r="23" ht="20" customHeight="1">
      <c r="A23" s="4" t="inlineStr">
        <is>
          <t>HD</t>
        </is>
      </c>
      <c r="B23" s="5" t="inlineStr">
        <is>
          <t>The Home Depot, Inc.</t>
        </is>
      </c>
      <c r="C23" s="5" t="inlineStr">
        <is>
          <t>Tier 3: High-ROIC Quality Cyclical &amp; Housing Wealth Proxy</t>
        </is>
      </c>
      <c r="D23" s="21" t="n">
        <v>0.01</v>
      </c>
      <c r="E23" s="20" t="n">
        <v>0.02</v>
      </c>
      <c r="F23" s="21" t="n">
        <v>0.03</v>
      </c>
      <c r="G23" s="21" t="n">
        <v>0.1740169969162524</v>
      </c>
      <c r="H23" s="21" t="n">
        <v>0.2154477451476291</v>
      </c>
      <c r="I23" s="22" t="n">
        <v>0.9154488296693757</v>
      </c>
      <c r="J23" s="21" t="n">
        <v>0.1505860954165361</v>
      </c>
      <c r="K23" s="20" t="n">
        <v>0.02210620762376947</v>
      </c>
      <c r="L23" s="5" t="inlineStr">
        <is>
          <t>Growth Risk Driver (Risk% &gt;= Weight%)</t>
        </is>
      </c>
    </row>
    <row r="24" ht="20" customHeight="1">
      <c r="A24" s="7" t="inlineStr">
        <is>
          <t>MCD</t>
        </is>
      </c>
      <c r="B24" s="8" t="inlineStr">
        <is>
          <t>McDonald's Corp.</t>
        </is>
      </c>
      <c r="C24" s="8" t="inlineStr">
        <is>
          <t>Tier 2/3: Franchise Real-Estate Toll-Road &amp; Defensive Discretionary</t>
        </is>
      </c>
      <c r="D24" s="26" t="n">
        <v>0.02</v>
      </c>
      <c r="E24" s="25" t="n">
        <v>0.02</v>
      </c>
      <c r="F24" s="26" t="n">
        <v>0.03</v>
      </c>
      <c r="G24" s="26" t="n">
        <v>0.1679494875736054</v>
      </c>
      <c r="H24" s="26" t="n">
        <v>0.1754236463151021</v>
      </c>
      <c r="I24" s="27" t="n">
        <v>0.6692063432150532</v>
      </c>
      <c r="J24" s="26" t="n">
        <v>0.1143878869015916</v>
      </c>
      <c r="K24" s="25" t="n">
        <v>0.01679227003327404</v>
      </c>
      <c r="L24" s="8" t="inlineStr">
        <is>
          <t>Risk Reducer (Risk% &lt; Weight%)</t>
        </is>
      </c>
    </row>
    <row r="25" ht="20" customHeight="1">
      <c r="A25" s="4" t="inlineStr">
        <is>
          <t>NEE</t>
        </is>
      </c>
      <c r="B25" s="5" t="inlineStr">
        <is>
          <t>NextEra Energy, Inc.</t>
        </is>
      </c>
      <c r="C25" s="5" t="inlineStr">
        <is>
          <t>Tier 2: Regulated Utility + Green Energy Growth Hybrid</t>
        </is>
      </c>
      <c r="D25" s="21" t="n">
        <v>0</v>
      </c>
      <c r="E25" s="20" t="n">
        <v>0.01</v>
      </c>
      <c r="F25" s="21" t="n">
        <v>0.005</v>
      </c>
      <c r="G25" s="21" t="n">
        <v>0.1831083305224277</v>
      </c>
      <c r="H25" s="21" t="n">
        <v>0.1883569262487628</v>
      </c>
      <c r="I25" s="22" t="n">
        <v>1.086813528370687</v>
      </c>
      <c r="J25" s="21" t="n">
        <v>0.07359681372882239</v>
      </c>
      <c r="K25" s="20" t="n">
        <v>0.005402047381057793</v>
      </c>
      <c r="L25" s="5" t="inlineStr">
        <is>
          <t>Risk Reducer (Risk% &lt; Weight%)</t>
        </is>
      </c>
    </row>
    <row r="26" ht="20" customHeight="1">
      <c r="A26" s="7" t="inlineStr">
        <is>
          <t>SO</t>
        </is>
      </c>
      <c r="B26" s="8" t="inlineStr">
        <is>
          <t>The Southern Company</t>
        </is>
      </c>
      <c r="C26" s="8" t="inlineStr">
        <is>
          <t>Tier 2: Southeast Regulated Utility &amp; Baseload Nuclear Anchor</t>
        </is>
      </c>
      <c r="D26" s="26" t="n">
        <v>0</v>
      </c>
      <c r="E26" s="25" t="n">
        <v>0.01</v>
      </c>
      <c r="F26" s="26" t="n">
        <v>0.005</v>
      </c>
      <c r="G26" s="26" t="n">
        <v>0.0958820779551246</v>
      </c>
      <c r="H26" s="26" t="n">
        <v>0.1811260982582837</v>
      </c>
      <c r="I26" s="27" t="n">
        <v>0.8587231759790894</v>
      </c>
      <c r="J26" s="26" t="n">
        <v>0.07588928703877287</v>
      </c>
      <c r="K26" s="25" t="n">
        <v>0.005570316207012591</v>
      </c>
      <c r="L26" s="8" t="inlineStr">
        <is>
          <t>Risk Reducer (Risk% &lt; Weight%)</t>
        </is>
      </c>
    </row>
    <row r="27" ht="20" customHeight="1">
      <c r="A27" s="4" t="inlineStr">
        <is>
          <t>CVX</t>
        </is>
      </c>
      <c r="B27" s="5" t="inlineStr">
        <is>
          <t>Chevron Corp.</t>
        </is>
      </c>
      <c r="C27" s="5" t="inlineStr">
        <is>
          <t>Tier 2/3: Fortress-Balance-Sheet Integrated Energy &amp; Inflation Hedge</t>
        </is>
      </c>
      <c r="D27" s="21" t="n">
        <v>0.005</v>
      </c>
      <c r="E27" s="20" t="n">
        <v>0.005</v>
      </c>
      <c r="F27" s="21" t="n">
        <v>0.005</v>
      </c>
      <c r="G27" s="21" t="n">
        <v>0.1074074533502698</v>
      </c>
      <c r="H27" s="21" t="n">
        <v>0.2898697341353346</v>
      </c>
      <c r="I27" s="22" t="n">
        <v>1.195128890778362</v>
      </c>
      <c r="J27" s="21" t="n">
        <v>0.1910821721044899</v>
      </c>
      <c r="K27" s="20" t="n">
        <v>0.007012769270061787</v>
      </c>
      <c r="L27" s="5" t="inlineStr">
        <is>
          <t>Growth Risk Driver (Risk% &gt;= Weight%)</t>
        </is>
      </c>
    </row>
    <row r="28" ht="20" customHeight="1">
      <c r="A28" s="7" t="inlineStr">
        <is>
          <t>XOM</t>
        </is>
      </c>
      <c r="B28" s="8" t="inlineStr">
        <is>
          <t>Exxon Mobil Corp.</t>
        </is>
      </c>
      <c r="C28" s="8" t="inlineStr">
        <is>
          <t>Tier 1/3: Commodity Inflation Hedge &amp; Real-Asset Proxy</t>
        </is>
      </c>
      <c r="D28" s="26" t="n">
        <v>0.005</v>
      </c>
      <c r="E28" s="25" t="n">
        <v>0.005</v>
      </c>
      <c r="F28" s="26" t="n">
        <v>0.005</v>
      </c>
      <c r="G28" s="26" t="n">
        <v>0.07051752224776342</v>
      </c>
      <c r="H28" s="26" t="n">
        <v>0.2894091761323612</v>
      </c>
      <c r="I28" s="27" t="n">
        <v>1.1890933051146</v>
      </c>
      <c r="J28" s="26" t="n">
        <v>0.1667358143348522</v>
      </c>
      <c r="K28" s="25" t="n">
        <v>0.006119251116460928</v>
      </c>
      <c r="L28" s="8" t="inlineStr">
        <is>
          <t>Growth Risk Driver (Risk% &gt;= Weight%)</t>
        </is>
      </c>
    </row>
    <row r="29" ht="22" customHeight="1">
      <c r="A29" s="52" t="inlineStr">
        <is>
          <t>TOTAL</t>
        </is>
      </c>
      <c r="B29" s="53" t="inlineStr">
        <is>
          <t>24 Core Endowment Assets</t>
        </is>
      </c>
      <c r="C29" s="53" t="inlineStr">
        <is>
          <t>100% Invested Surplus Equity Sleeve</t>
        </is>
      </c>
      <c r="D29" s="54">
        <f>SUM(D5:D28)</f>
        <v/>
      </c>
      <c r="E29" s="54">
        <f>SUM(E5:E28)</f>
        <v/>
      </c>
      <c r="F29" s="54">
        <f>SUM(F5:F28)</f>
        <v/>
      </c>
      <c r="G29" s="53" t="n"/>
      <c r="H29" s="53" t="n"/>
      <c r="I29" s="53" t="n"/>
      <c r="J29" s="53" t="n"/>
      <c r="K29" s="54">
        <f>SUM(K5:K28)</f>
        <v/>
      </c>
      <c r="L29" s="53" t="n"/>
    </row>
    <row r="32" ht="22" customHeight="1">
      <c r="A32" s="2" t="inlineStr">
        <is>
          <t>2. Portfolio-Level Performance, 15% Drawdown Governance Stress Test &amp; Out-of-Sample Evaluation (2015–2022 vs. 2023–2025)</t>
        </is>
      </c>
    </row>
    <row r="33" ht="28" customHeight="1">
      <c r="A33" s="3" t="inlineStr">
        <is>
          <t>Portfolio Strategy / Benchmark</t>
        </is>
      </c>
      <c r="B33" s="3" t="inlineStr">
        <is>
          <t>Risk Aversion (λ)</t>
        </is>
      </c>
      <c r="C33" s="3" t="inlineStr">
        <is>
          <t>2015–2022 Geom. CAGR</t>
        </is>
      </c>
      <c r="D33" s="3" t="inlineStr">
        <is>
          <t>2015–2022 Ann. Vol</t>
        </is>
      </c>
      <c r="E33" s="3" t="inlineStr">
        <is>
          <t>2015–2022 Excess Sharpe</t>
        </is>
      </c>
      <c r="F33" s="3" t="inlineStr">
        <is>
          <t>2015–2022 Equity Max DD</t>
        </is>
      </c>
      <c r="G33" s="3" t="inlineStr">
        <is>
          <t>65/35 Endowment Total Max DD (w/ Dedicated Bonds)</t>
        </is>
      </c>
      <c r="H33" s="3" t="inlineStr">
        <is>
          <t>Meets HEPI+Spending Hurdle (&gt;7.8%)?</t>
        </is>
      </c>
      <c r="I33" s="3" t="inlineStr">
        <is>
          <t>Meets -15% Board Total DD Trigger?</t>
        </is>
      </c>
      <c r="J33" s="3" t="inlineStr">
        <is>
          <t>2023–2025 OOS Geom. CAGR</t>
        </is>
      </c>
      <c r="K33" s="3" t="inlineStr">
        <is>
          <t>2023–2025 OOS Max DD</t>
        </is>
      </c>
    </row>
    <row r="34" ht="22" customHeight="1">
      <c r="A34" s="9" t="inlineStr">
        <is>
          <t>Conservative Endowment Sleeve (Low-Vol &amp; Dividend Tilt)</t>
        </is>
      </c>
      <c r="B34" s="24" t="inlineStr">
        <is>
          <t>λ = 6.0 (Conservative)</t>
        </is>
      </c>
      <c r="C34" s="25" t="n">
        <v>0.1317223833489121</v>
      </c>
      <c r="D34" s="26" t="n">
        <v>0.1305224791003719</v>
      </c>
      <c r="E34" s="41" t="n">
        <v>0.9494227906029339</v>
      </c>
      <c r="F34" s="26" t="n">
        <v>-0.1621591037835831</v>
      </c>
      <c r="G34" s="25" t="n">
        <v>-0.1058425625311668</v>
      </c>
      <c r="H34" s="55" t="inlineStr">
        <is>
          <t>YES (Exceeds 7.8%)</t>
        </is>
      </c>
      <c r="I34" s="55" t="inlineStr">
        <is>
          <t>PASS (Within -15% Limit)</t>
        </is>
      </c>
      <c r="J34" s="25" t="n">
        <v>0.1216662352807285</v>
      </c>
      <c r="K34" s="26" t="n">
        <v>-0.07569628465968958</v>
      </c>
    </row>
    <row r="35" ht="22" customHeight="1">
      <c r="A35" s="13" t="inlineStr">
        <is>
          <t>Kappa Baseline Endowment Portfolio (Recommended IPS Mix)</t>
        </is>
      </c>
      <c r="B35" s="10" t="inlineStr">
        <is>
          <t>λ = 3.5 (Balanced Endowment)</t>
        </is>
      </c>
      <c r="C35" s="15" t="n">
        <v>0.1470699968567935</v>
      </c>
      <c r="D35" s="16" t="n">
        <v>0.1362387416054302</v>
      </c>
      <c r="E35" s="46" t="n">
        <v>1.015081420456209</v>
      </c>
      <c r="F35" s="16" t="n">
        <v>-0.1608845615198992</v>
      </c>
      <c r="G35" s="15" t="n">
        <v>-0.1049873363416619</v>
      </c>
      <c r="H35" s="33" t="inlineStr">
        <is>
          <t>YES (Exceeds 7.8%)</t>
        </is>
      </c>
      <c r="I35" s="33" t="inlineStr">
        <is>
          <t>PASS (Within -15% Limit)</t>
        </is>
      </c>
      <c r="J35" s="15" t="n">
        <v>0.1489075423881514</v>
      </c>
      <c r="K35" s="16" t="n">
        <v>-0.07868103611077315</v>
      </c>
    </row>
    <row r="36" ht="22" customHeight="1">
      <c r="A36" s="9" t="inlineStr">
        <is>
          <t>Aggressive Growth Endowment Sleeve (High Secular Alpha)</t>
        </is>
      </c>
      <c r="B36" s="24" t="inlineStr">
        <is>
          <t>λ = 2.0 (Growth Tilted)</t>
        </is>
      </c>
      <c r="C36" s="25" t="n">
        <v>0.1647105915283356</v>
      </c>
      <c r="D36" s="26" t="n">
        <v>0.144796546275411</v>
      </c>
      <c r="E36" s="41" t="n">
        <v>1.069872465093258</v>
      </c>
      <c r="F36" s="26" t="n">
        <v>-0.1709603555098034</v>
      </c>
      <c r="G36" s="25" t="n">
        <v>-0.1070603527526223</v>
      </c>
      <c r="H36" s="55" t="inlineStr">
        <is>
          <t>YES (Exceeds 7.8%)</t>
        </is>
      </c>
      <c r="I36" s="55" t="inlineStr">
        <is>
          <t>PASS (Within -15% Limit)</t>
        </is>
      </c>
      <c r="J36" s="25" t="n">
        <v>0.1805846661570438</v>
      </c>
      <c r="K36" s="26" t="n">
        <v>-0.08081937810773343</v>
      </c>
    </row>
    <row r="37" ht="22" customHeight="1">
      <c r="A37" s="11" t="inlineStr">
        <is>
          <t>Equal-Weight Original 10 Universe (1/N Benchmark)</t>
        </is>
      </c>
      <c r="B37" s="19" t="inlineStr">
        <is>
          <t>N/A (1/N Naive)</t>
        </is>
      </c>
      <c r="C37" s="20" t="n">
        <v>0.1555742205606605</v>
      </c>
      <c r="D37" s="21" t="n">
        <v>0.1348714245988789</v>
      </c>
      <c r="E37" s="38" t="n">
        <v>1.079690268031843</v>
      </c>
      <c r="F37" s="21" t="n">
        <v>-0.1942</v>
      </c>
      <c r="G37" s="20" t="n">
        <v>-0.125</v>
      </c>
      <c r="H37" s="56" t="inlineStr">
        <is>
          <t>YES (Exceeds 7.8%)</t>
        </is>
      </c>
      <c r="I37" s="56" t="inlineStr">
        <is>
          <t>PASS (Within -15% Limit)</t>
        </is>
      </c>
      <c r="J37" s="20" t="n">
        <v>0.1131206744747633</v>
      </c>
      <c r="K37" s="21" t="n">
        <v>-0.1085</v>
      </c>
    </row>
    <row r="38" ht="22" customHeight="1">
      <c r="A38" s="9" t="inlineStr">
        <is>
          <t>Policy Benchmark (100% VTI Total US Stock Market)</t>
        </is>
      </c>
      <c r="B38" s="24" t="inlineStr">
        <is>
          <t>Market Benchmark (β=1.0)</t>
        </is>
      </c>
      <c r="C38" s="25" t="n">
        <v>0.0959381126785126</v>
      </c>
      <c r="D38" s="26" t="n">
        <v>0.1630921637898694</v>
      </c>
      <c r="E38" s="41" t="n">
        <v>0.5931598543854076</v>
      </c>
      <c r="F38" s="26" t="n">
        <v>-0.2481914279873279</v>
      </c>
      <c r="G38" s="25" t="n">
        <v>-0.1613244281917631</v>
      </c>
      <c r="H38" s="55" t="inlineStr">
        <is>
          <t>YES (Exceeds 7.8%)</t>
        </is>
      </c>
      <c r="I38" s="24" t="inlineStr">
        <is>
          <t>BREACHES -15%</t>
        </is>
      </c>
      <c r="J38" s="25" t="n">
        <v>0.2225910491763365</v>
      </c>
      <c r="K38" s="26" t="n">
        <v>-0.09110837100972746</v>
      </c>
    </row>
    <row r="41" ht="22" customHeight="1">
      <c r="A41" s="2" t="inlineStr">
        <is>
          <t>3. Institutional ETF Look-Through Holdings Overlap Matrix &amp; Top-10 Concentration (As of 31/12/2022)</t>
        </is>
      </c>
    </row>
    <row r="42" ht="26" customHeight="1">
      <c r="A42" s="3" t="inlineStr">
        <is>
          <t>ETF Ticker</t>
        </is>
      </c>
      <c r="B42" s="3" t="inlineStr">
        <is>
          <t>Expense Ratio</t>
        </is>
      </c>
      <c r="C42" s="3" t="inlineStr">
        <is>
          <t>Top-10 Weight (%)</t>
        </is>
      </c>
      <c r="D42" s="3" t="inlineStr">
        <is>
          <t>Combined AAPL+MSFT+NVDA (%)</t>
        </is>
      </c>
      <c r="E42" s="3" t="inlineStr">
        <is>
          <t>Effective HHI</t>
        </is>
      </c>
      <c r="F42" s="3" t="inlineStr">
        <is>
          <t>Overlap w/ VTI</t>
        </is>
      </c>
      <c r="G42" s="3" t="inlineStr">
        <is>
          <t>Overlap w/ SPY</t>
        </is>
      </c>
      <c r="H42" s="3" t="inlineStr">
        <is>
          <t>Overlap w/ QQQ</t>
        </is>
      </c>
      <c r="I42" s="3" t="inlineStr">
        <is>
          <t>Overlap w/ VUG</t>
        </is>
      </c>
      <c r="J42" s="3" t="inlineStr">
        <is>
          <t>Overlap w/ VTV</t>
        </is>
      </c>
      <c r="K42" s="3" t="inlineStr">
        <is>
          <t>Overlap w/ SCHD</t>
        </is>
      </c>
      <c r="L42" s="3" t="inlineStr">
        <is>
          <t>Overlap w/ USMV</t>
        </is>
      </c>
      <c r="M42" s="3" t="inlineStr">
        <is>
          <t>Overlap w/ RSP</t>
        </is>
      </c>
    </row>
    <row r="43" ht="20" customHeight="1">
      <c r="A43" s="4" t="inlineStr">
        <is>
          <t>VTI</t>
        </is>
      </c>
      <c r="B43" s="21" t="n">
        <v>0.0003</v>
      </c>
      <c r="C43" s="21" t="n">
        <v>0.228</v>
      </c>
      <c r="D43" s="21" t="n">
        <v>0.118</v>
      </c>
      <c r="E43" s="57" t="n">
        <v>115</v>
      </c>
      <c r="F43" s="20" t="n">
        <v>1</v>
      </c>
      <c r="G43" s="37" t="n">
        <v>0.82</v>
      </c>
      <c r="H43" s="21" t="n">
        <v>0.42</v>
      </c>
      <c r="I43" s="37" t="n">
        <v>0.51</v>
      </c>
      <c r="J43" s="21" t="n">
        <v>0.46</v>
      </c>
      <c r="K43" s="21" t="n">
        <v>0.14</v>
      </c>
      <c r="L43" s="21" t="n">
        <v>0.28</v>
      </c>
      <c r="M43" s="21" t="n">
        <v>0.29</v>
      </c>
    </row>
    <row r="44" ht="20" customHeight="1">
      <c r="A44" s="7" t="inlineStr">
        <is>
          <t>SPY</t>
        </is>
      </c>
      <c r="B44" s="26" t="n">
        <v>0.0009</v>
      </c>
      <c r="C44" s="26" t="n">
        <v>0.254</v>
      </c>
      <c r="D44" s="26" t="n">
        <v>0.138</v>
      </c>
      <c r="E44" s="58" t="n">
        <v>145</v>
      </c>
      <c r="F44" s="37" t="n">
        <v>0.82</v>
      </c>
      <c r="G44" s="25" t="n">
        <v>1</v>
      </c>
      <c r="H44" s="26" t="n">
        <v>0.46</v>
      </c>
      <c r="I44" s="37" t="n">
        <v>0.55</v>
      </c>
      <c r="J44" s="37" t="n">
        <v>0.5</v>
      </c>
      <c r="K44" s="26" t="n">
        <v>0.16</v>
      </c>
      <c r="L44" s="26" t="n">
        <v>0.32</v>
      </c>
      <c r="M44" s="26" t="n">
        <v>0.31</v>
      </c>
    </row>
    <row r="45" ht="20" customHeight="1">
      <c r="A45" s="4" t="inlineStr">
        <is>
          <t>QQQ</t>
        </is>
      </c>
      <c r="B45" s="21" t="n">
        <v>0.002</v>
      </c>
      <c r="C45" s="21" t="n">
        <v>0.512</v>
      </c>
      <c r="D45" s="21" t="n">
        <v>0.286</v>
      </c>
      <c r="E45" s="57" t="n">
        <v>410</v>
      </c>
      <c r="F45" s="21" t="n">
        <v>0.42</v>
      </c>
      <c r="G45" s="21" t="n">
        <v>0.46</v>
      </c>
      <c r="H45" s="20" t="n">
        <v>1</v>
      </c>
      <c r="I45" s="37" t="n">
        <v>0.68</v>
      </c>
      <c r="J45" s="21" t="n">
        <v>0.08</v>
      </c>
      <c r="K45" s="21" t="n">
        <v>0.09</v>
      </c>
      <c r="L45" s="21" t="n">
        <v>0.15</v>
      </c>
      <c r="M45" s="21" t="n">
        <v>0.14</v>
      </c>
    </row>
    <row r="46" ht="20" customHeight="1">
      <c r="A46" s="7" t="inlineStr">
        <is>
          <t>VUG</t>
        </is>
      </c>
      <c r="B46" s="26" t="n">
        <v>0.0004</v>
      </c>
      <c r="C46" s="26" t="n">
        <v>0.465</v>
      </c>
      <c r="D46" s="26" t="n">
        <v>0.264</v>
      </c>
      <c r="E46" s="58" t="n">
        <v>345</v>
      </c>
      <c r="F46" s="37" t="n">
        <v>0.51</v>
      </c>
      <c r="G46" s="37" t="n">
        <v>0.55</v>
      </c>
      <c r="H46" s="37" t="n">
        <v>0.68</v>
      </c>
      <c r="I46" s="25" t="n">
        <v>1</v>
      </c>
      <c r="J46" s="26" t="n">
        <v>0.04</v>
      </c>
      <c r="K46" s="26" t="n">
        <v>0.06</v>
      </c>
      <c r="L46" s="26" t="n">
        <v>0.19</v>
      </c>
      <c r="M46" s="26" t="n">
        <v>0.18</v>
      </c>
    </row>
    <row r="47" ht="20" customHeight="1">
      <c r="A47" s="4" t="inlineStr">
        <is>
          <t>VTV</t>
        </is>
      </c>
      <c r="B47" s="21" t="n">
        <v>0.0004</v>
      </c>
      <c r="C47" s="21" t="n">
        <v>0.214</v>
      </c>
      <c r="D47" s="21" t="n">
        <v>0</v>
      </c>
      <c r="E47" s="57" t="n">
        <v>110</v>
      </c>
      <c r="F47" s="21" t="n">
        <v>0.46</v>
      </c>
      <c r="G47" s="37" t="n">
        <v>0.5</v>
      </c>
      <c r="H47" s="21" t="n">
        <v>0.08</v>
      </c>
      <c r="I47" s="21" t="n">
        <v>0.04</v>
      </c>
      <c r="J47" s="20" t="n">
        <v>1</v>
      </c>
      <c r="K47" s="21" t="n">
        <v>0.29</v>
      </c>
      <c r="L47" s="21" t="n">
        <v>0.36</v>
      </c>
      <c r="M47" s="21" t="n">
        <v>0.34</v>
      </c>
    </row>
    <row r="48" ht="20" customHeight="1">
      <c r="A48" s="7" t="inlineStr">
        <is>
          <t>SCHD</t>
        </is>
      </c>
      <c r="B48" s="26" t="n">
        <v>0.0005999999999999999</v>
      </c>
      <c r="C48" s="26" t="n">
        <v>0.408</v>
      </c>
      <c r="D48" s="26" t="n">
        <v>0</v>
      </c>
      <c r="E48" s="58" t="n">
        <v>290</v>
      </c>
      <c r="F48" s="26" t="n">
        <v>0.14</v>
      </c>
      <c r="G48" s="26" t="n">
        <v>0.16</v>
      </c>
      <c r="H48" s="26" t="n">
        <v>0.09</v>
      </c>
      <c r="I48" s="26" t="n">
        <v>0.06</v>
      </c>
      <c r="J48" s="26" t="n">
        <v>0.29</v>
      </c>
      <c r="K48" s="25" t="n">
        <v>1</v>
      </c>
      <c r="L48" s="26" t="n">
        <v>0.22</v>
      </c>
      <c r="M48" s="26" t="n">
        <v>0.15</v>
      </c>
    </row>
    <row r="49" ht="20" customHeight="1">
      <c r="A49" s="4" t="inlineStr">
        <is>
          <t>USMV</t>
        </is>
      </c>
      <c r="B49" s="21" t="n">
        <v>0.0015</v>
      </c>
      <c r="C49" s="21" t="n">
        <v>0.158</v>
      </c>
      <c r="D49" s="21" t="n">
        <v>0.032</v>
      </c>
      <c r="E49" s="57" t="n">
        <v>92</v>
      </c>
      <c r="F49" s="21" t="n">
        <v>0.28</v>
      </c>
      <c r="G49" s="21" t="n">
        <v>0.32</v>
      </c>
      <c r="H49" s="21" t="n">
        <v>0.15</v>
      </c>
      <c r="I49" s="21" t="n">
        <v>0.19</v>
      </c>
      <c r="J49" s="21" t="n">
        <v>0.36</v>
      </c>
      <c r="K49" s="21" t="n">
        <v>0.22</v>
      </c>
      <c r="L49" s="20" t="n">
        <v>1</v>
      </c>
      <c r="M49" s="21" t="n">
        <v>0.26</v>
      </c>
    </row>
    <row r="50" ht="20" customHeight="1">
      <c r="A50" s="7" t="inlineStr">
        <is>
          <t>RSP</t>
        </is>
      </c>
      <c r="B50" s="26" t="n">
        <v>0.002</v>
      </c>
      <c r="C50" s="26" t="n">
        <v>0.024</v>
      </c>
      <c r="D50" s="26" t="n">
        <v>0.006</v>
      </c>
      <c r="E50" s="58" t="n">
        <v>20</v>
      </c>
      <c r="F50" s="26" t="n">
        <v>0.29</v>
      </c>
      <c r="G50" s="26" t="n">
        <v>0.31</v>
      </c>
      <c r="H50" s="26" t="n">
        <v>0.14</v>
      </c>
      <c r="I50" s="26" t="n">
        <v>0.18</v>
      </c>
      <c r="J50" s="26" t="n">
        <v>0.34</v>
      </c>
      <c r="K50" s="26" t="n">
        <v>0.15</v>
      </c>
      <c r="L50" s="26" t="n">
        <v>0.26</v>
      </c>
      <c r="M50" s="25" t="n">
        <v>1</v>
      </c>
    </row>
    <row r="53" ht="22" customHeight="1">
      <c r="A53" s="2" t="inlineStr">
        <is>
          <t>4. Annualized Sample Covariance Matrix (Lower Triangle) vs. Single-Index CAPM Covariance Matrix (Upper Triangle) – Core 10 Universe (2015–2022)</t>
        </is>
      </c>
    </row>
    <row r="54" ht="24" customHeight="1">
      <c r="A54" s="30" t="inlineStr">
        <is>
          <t>Ticker</t>
        </is>
      </c>
      <c r="B54" s="3" t="inlineStr">
        <is>
          <t>HD</t>
        </is>
      </c>
      <c r="C54" s="3" t="inlineStr">
        <is>
          <t>JNJ</t>
        </is>
      </c>
      <c r="D54" s="3" t="inlineStr">
        <is>
          <t>JPM</t>
        </is>
      </c>
      <c r="E54" s="3" t="inlineStr">
        <is>
          <t>MSFT</t>
        </is>
      </c>
      <c r="F54" s="3" t="inlineStr">
        <is>
          <t>NEE</t>
        </is>
      </c>
      <c r="G54" s="3" t="inlineStr">
        <is>
          <t>PG</t>
        </is>
      </c>
      <c r="H54" s="3" t="inlineStr">
        <is>
          <t>UNH</t>
        </is>
      </c>
      <c r="I54" s="3" t="inlineStr">
        <is>
          <t>USMV</t>
        </is>
      </c>
      <c r="J54" s="3" t="inlineStr">
        <is>
          <t>VTI</t>
        </is>
      </c>
      <c r="K54" s="3" t="inlineStr">
        <is>
          <t>XOM</t>
        </is>
      </c>
    </row>
    <row r="55" ht="20" customHeight="1">
      <c r="A55" s="59" t="inlineStr">
        <is>
          <t>HD</t>
        </is>
      </c>
      <c r="B55" s="60" t="n">
        <v>0.04641773088919775</v>
      </c>
      <c r="C55" s="61" t="n">
        <v>0.01303790507550298</v>
      </c>
      <c r="D55" s="61" t="n">
        <v>0.02846085561569007</v>
      </c>
      <c r="E55" s="61" t="n">
        <v>0.0238259815264177</v>
      </c>
      <c r="F55" s="61" t="n">
        <v>0.009717466797378907</v>
      </c>
      <c r="G55" s="61" t="n">
        <v>0.00914059328993945</v>
      </c>
      <c r="H55" s="61" t="n">
        <v>0.01663331509183197</v>
      </c>
      <c r="I55" s="61" t="n">
        <v>0.01734463675505215</v>
      </c>
      <c r="J55" s="61" t="n">
        <v>0.02454437097505589</v>
      </c>
      <c r="K55" s="61" t="n">
        <v>0.02540441860973711</v>
      </c>
    </row>
    <row r="56" ht="20" customHeight="1">
      <c r="A56" s="59" t="inlineStr">
        <is>
          <t>JNJ</t>
        </is>
      </c>
      <c r="B56" s="62" t="n">
        <v>0.01152108562510136</v>
      </c>
      <c r="C56" s="60" t="n">
        <v>0.02435641313189226</v>
      </c>
      <c r="D56" s="61" t="n">
        <v>0.01641463114707392</v>
      </c>
      <c r="E56" s="61" t="n">
        <v>0.01374149476579822</v>
      </c>
      <c r="F56" s="61" t="n">
        <v>0.005604491843701903</v>
      </c>
      <c r="G56" s="61" t="n">
        <v>0.005271783439885777</v>
      </c>
      <c r="H56" s="61" t="n">
        <v>0.00959316668733467</v>
      </c>
      <c r="I56" s="61" t="n">
        <v>0.01000341727453928</v>
      </c>
      <c r="J56" s="61" t="n">
        <v>0.01415582165668919</v>
      </c>
      <c r="K56" s="61" t="n">
        <v>0.01465184907353265</v>
      </c>
    </row>
    <row r="57" ht="20" customHeight="1">
      <c r="A57" s="59" t="inlineStr">
        <is>
          <t>JPM</t>
        </is>
      </c>
      <c r="B57" s="62" t="n">
        <v>0.02487071325342914</v>
      </c>
      <c r="C57" s="62" t="n">
        <v>0.01569112957928846</v>
      </c>
      <c r="D57" s="60" t="n">
        <v>0.06444654575298339</v>
      </c>
      <c r="E57" s="61" t="n">
        <v>0.02999674381799073</v>
      </c>
      <c r="F57" s="61" t="n">
        <v>0.01223422261775893</v>
      </c>
      <c r="G57" s="61" t="n">
        <v>0.01150794291344284</v>
      </c>
      <c r="H57" s="61" t="n">
        <v>0.02094122716834911</v>
      </c>
      <c r="I57" s="61" t="n">
        <v>0.02183677615885531</v>
      </c>
      <c r="J57" s="61" t="n">
        <v>0.0309011911008216</v>
      </c>
      <c r="K57" s="61" t="n">
        <v>0.03198398504742969</v>
      </c>
    </row>
    <row r="58" ht="20" customHeight="1">
      <c r="A58" s="59" t="inlineStr">
        <is>
          <t>MSFT</t>
        </is>
      </c>
      <c r="B58" s="62" t="n">
        <v>0.02349499891480789</v>
      </c>
      <c r="C58" s="62" t="n">
        <v>0.01395427437782231</v>
      </c>
      <c r="D58" s="62" t="n">
        <v>0.02553232466163515</v>
      </c>
      <c r="E58" s="60" t="n">
        <v>0.05061877949972803</v>
      </c>
      <c r="F58" s="61" t="n">
        <v>0.01024186925427886</v>
      </c>
      <c r="G58" s="61" t="n">
        <v>0.009633864805933758</v>
      </c>
      <c r="H58" s="61" t="n">
        <v>0.01753093084729825</v>
      </c>
      <c r="I58" s="61" t="n">
        <v>0.01828063893731223</v>
      </c>
      <c r="J58" s="61" t="n">
        <v>0.02586890634119214</v>
      </c>
      <c r="K58" s="61" t="n">
        <v>0.02677536638993989</v>
      </c>
    </row>
    <row r="59" ht="20" customHeight="1">
      <c r="A59" s="59" t="inlineStr">
        <is>
          <t>NEE</t>
        </is>
      </c>
      <c r="B59" s="62" t="n">
        <v>0.01011613701860273</v>
      </c>
      <c r="C59" s="62" t="n">
        <v>0.008671206937041804</v>
      </c>
      <c r="D59" s="62" t="n">
        <v>0.003712139457521433</v>
      </c>
      <c r="E59" s="62" t="n">
        <v>0.01305804359574125</v>
      </c>
      <c r="F59" s="60" t="n">
        <v>0.03547833166588186</v>
      </c>
      <c r="G59" s="61" t="n">
        <v>0.00392918802855187</v>
      </c>
      <c r="H59" s="61" t="n">
        <v>0.00715001974826847</v>
      </c>
      <c r="I59" s="61" t="n">
        <v>0.007455789458715004</v>
      </c>
      <c r="J59" s="61" t="n">
        <v>0.01055067713270551</v>
      </c>
      <c r="K59" s="61" t="n">
        <v>0.01092037839420822</v>
      </c>
    </row>
    <row r="60" ht="20" customHeight="1">
      <c r="A60" s="59" t="inlineStr">
        <is>
          <t>PG</t>
        </is>
      </c>
      <c r="B60" s="62" t="n">
        <v>0.01275421638938759</v>
      </c>
      <c r="C60" s="62" t="n">
        <v>0.01182491444414359</v>
      </c>
      <c r="D60" s="62" t="n">
        <v>0.008181215784749115</v>
      </c>
      <c r="E60" s="62" t="n">
        <v>0.01062540071384374</v>
      </c>
      <c r="F60" s="62" t="n">
        <v>0.00897877670220527</v>
      </c>
      <c r="G60" s="60" t="n">
        <v>0.02542632073718971</v>
      </c>
      <c r="H60" s="61" t="n">
        <v>0.006725561702107967</v>
      </c>
      <c r="I60" s="61" t="n">
        <v>0.007013179516693987</v>
      </c>
      <c r="J60" s="61" t="n">
        <v>0.009924340428879902</v>
      </c>
      <c r="K60" s="61" t="n">
        <v>0.010272094523711</v>
      </c>
    </row>
    <row r="61" ht="20" customHeight="1">
      <c r="A61" s="59" t="inlineStr">
        <is>
          <t>UNH</t>
        </is>
      </c>
      <c r="B61" s="62" t="n">
        <v>0.01706697437793742</v>
      </c>
      <c r="C61" s="62" t="n">
        <v>0.01489783702343788</v>
      </c>
      <c r="D61" s="62" t="n">
        <v>0.01816478391432517</v>
      </c>
      <c r="E61" s="62" t="n">
        <v>0.01145595920454998</v>
      </c>
      <c r="F61" s="62" t="n">
        <v>0.006408458836285876</v>
      </c>
      <c r="G61" s="62" t="n">
        <v>0.007679613951750949</v>
      </c>
      <c r="H61" s="60" t="n">
        <v>0.04160285543175547</v>
      </c>
      <c r="I61" s="61" t="n">
        <v>0.01276201894084335</v>
      </c>
      <c r="J61" s="61" t="n">
        <v>0.01805951497851402</v>
      </c>
      <c r="K61" s="61" t="n">
        <v>0.01869232985719011</v>
      </c>
    </row>
    <row r="62" ht="20" customHeight="1">
      <c r="A62" s="59" t="inlineStr">
        <is>
          <t>USMV</t>
        </is>
      </c>
      <c r="B62" s="62" t="n">
        <v>0.01925523548429071</v>
      </c>
      <c r="C62" s="62" t="n">
        <v>0.01336829244385556</v>
      </c>
      <c r="D62" s="62" t="n">
        <v>0.01920380270391918</v>
      </c>
      <c r="E62" s="62" t="n">
        <v>0.01781091225128722</v>
      </c>
      <c r="F62" s="62" t="n">
        <v>0.01285244093640618</v>
      </c>
      <c r="G62" s="62" t="n">
        <v>0.01114733139238101</v>
      </c>
      <c r="H62" s="62" t="n">
        <v>0.01494161942271358</v>
      </c>
      <c r="I62" s="60" t="n">
        <v>0.0164882452689049</v>
      </c>
      <c r="J62" s="61" t="n">
        <v>0.01883182790354089</v>
      </c>
      <c r="K62" s="61" t="n">
        <v>0.01949170503225705</v>
      </c>
    </row>
    <row r="63" ht="20" customHeight="1">
      <c r="A63" s="59" t="inlineStr">
        <is>
          <t>VTI</t>
        </is>
      </c>
      <c r="B63" s="62" t="n">
        <v>0.02471477852693456</v>
      </c>
      <c r="C63" s="62" t="n">
        <v>0.01425592882461465</v>
      </c>
      <c r="D63" s="62" t="n">
        <v>0.03078306208784776</v>
      </c>
      <c r="E63" s="62" t="n">
        <v>0.02565772511439345</v>
      </c>
      <c r="F63" s="62" t="n">
        <v>0.01090829494508553</v>
      </c>
      <c r="G63" s="62" t="n">
        <v>0.01034194795346066</v>
      </c>
      <c r="H63" s="62" t="n">
        <v>0.01800328199066378</v>
      </c>
      <c r="I63" s="62" t="n">
        <v>0.01902499822377733</v>
      </c>
      <c r="J63" s="60" t="n">
        <v>0.02659905388966159</v>
      </c>
      <c r="K63" s="61" t="n">
        <v>0.02758268426167696</v>
      </c>
    </row>
    <row r="64" ht="20" customHeight="1">
      <c r="A64" s="59" t="inlineStr">
        <is>
          <t>XOM</t>
        </is>
      </c>
      <c r="B64" s="62" t="n">
        <v>0.01919970757643368</v>
      </c>
      <c r="C64" s="62" t="n">
        <v>0.01825446467612617</v>
      </c>
      <c r="D64" s="62" t="n">
        <v>0.04254989360807431</v>
      </c>
      <c r="E64" s="62" t="n">
        <v>0.01717478143342923</v>
      </c>
      <c r="F64" s="62" t="n">
        <v>-0.005885390066559628</v>
      </c>
      <c r="G64" s="62" t="n">
        <v>0.006556629718282518</v>
      </c>
      <c r="H64" s="62" t="n">
        <v>0.01697834423402955</v>
      </c>
      <c r="I64" s="62" t="n">
        <v>0.01851676612755593</v>
      </c>
      <c r="J64" s="62" t="n">
        <v>0.02764403054553919</v>
      </c>
      <c r="K64" s="60" t="n">
        <v>0.08375767122961203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2026-10-20T16:10:14Z</dcterms:created>
  <dcterms:modified xmlns:dcterms="http://purl.org/dc/terms/" xmlns:xsi="http://www.w3.org/2001/XMLSchema-instance" xsi:type="dcterms:W3CDTF">2026-10-21T03:05:06Z</dcterms:modified>
</cp:coreProperties>
</file>